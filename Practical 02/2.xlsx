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13_ncr:1_{1C26A9BB-95E5-4789-97D5-8FEFC6A576E6}" xr6:coauthVersionLast="47" xr6:coauthVersionMax="47" xr10:uidLastSave="{00000000-0000-0000-0000-000000000000}"/>
  <bookViews>
    <workbookView xWindow="-110" yWindow="-110" windowWidth="19420" windowHeight="10420" activeTab="1" xr2:uid="{4D30B58D-5AD8-49DE-881C-3811322DAB57}"/>
  </bookViews>
  <sheets>
    <sheet name="Sheet1" sheetId="1" r:id="rId1"/>
    <sheet name="Practical 1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H20" i="2" a="1"/>
  <c r="H20" i="2" s="1"/>
  <c r="F47" i="1" a="1"/>
  <c r="F47" i="1" s="1"/>
  <c r="A23" i="2" a="1"/>
  <c r="A23" i="2" s="1"/>
  <c r="E20" i="2"/>
  <c r="F35" i="1" a="1"/>
  <c r="F35" i="1" s="1"/>
  <c r="G31" i="1"/>
  <c r="G30" i="1"/>
  <c r="G29" i="1"/>
  <c r="G22" i="1"/>
  <c r="G21" i="1"/>
  <c r="G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<sst xmlns="http://schemas.openxmlformats.org/spreadsheetml/2006/main" count="222" uniqueCount="114">
  <si>
    <t xml:space="preserve">Item ID </t>
  </si>
  <si>
    <t>Component Name</t>
  </si>
  <si>
    <t>Working Fluid</t>
  </si>
  <si>
    <t xml:space="preserve">Operating Temp (C) </t>
  </si>
  <si>
    <t>Pressure (bar)</t>
  </si>
  <si>
    <t>Efficiency (%)</t>
  </si>
  <si>
    <t>TH-01</t>
  </si>
  <si>
    <t>TH-02</t>
  </si>
  <si>
    <t>TH-03</t>
  </si>
  <si>
    <t>TH-04</t>
  </si>
  <si>
    <t>TH-05</t>
  </si>
  <si>
    <t>TH-06</t>
  </si>
  <si>
    <t>TH-07</t>
  </si>
  <si>
    <t>TH-08</t>
  </si>
  <si>
    <t>TH-09</t>
  </si>
  <si>
    <t>TH-10</t>
  </si>
  <si>
    <t>TH-11</t>
  </si>
  <si>
    <t>TH-12</t>
  </si>
  <si>
    <t>TH-13</t>
  </si>
  <si>
    <t>TH-14</t>
  </si>
  <si>
    <t>TH-15</t>
  </si>
  <si>
    <t>Boiler</t>
  </si>
  <si>
    <t>Condenser</t>
  </si>
  <si>
    <t>Gas Turbine</t>
  </si>
  <si>
    <t>Heat Exchanger</t>
  </si>
  <si>
    <t>Compressor</t>
  </si>
  <si>
    <t>Cooling Tower</t>
  </si>
  <si>
    <t>Steam Turbine</t>
  </si>
  <si>
    <t>Pump</t>
  </si>
  <si>
    <t>Evaporator</t>
  </si>
  <si>
    <t>Solar Collector</t>
  </si>
  <si>
    <t>Radiator</t>
  </si>
  <si>
    <t>Combustion Chamber</t>
  </si>
  <si>
    <t>Expansion Valve</t>
  </si>
  <si>
    <t>Nozzle</t>
  </si>
  <si>
    <t>Diffuser</t>
  </si>
  <si>
    <t>Water/Steam</t>
  </si>
  <si>
    <t>Water</t>
  </si>
  <si>
    <t>Air</t>
  </si>
  <si>
    <t>Ethylene Glycol</t>
  </si>
  <si>
    <t>Refrigerant-134a</t>
  </si>
  <si>
    <t>Steam</t>
  </si>
  <si>
    <t>Refrigerant-22</t>
  </si>
  <si>
    <t>Coolant</t>
  </si>
  <si>
    <t>Fuel-Air Mix</t>
  </si>
  <si>
    <t>High-Pressure Gas</t>
  </si>
  <si>
    <t>Low-Velocity Air</t>
  </si>
  <si>
    <t>Seat No.</t>
  </si>
  <si>
    <t>ME-001</t>
  </si>
  <si>
    <t>ME-002</t>
  </si>
  <si>
    <t>ME-003</t>
  </si>
  <si>
    <t>ME-004</t>
  </si>
  <si>
    <t>ME-005</t>
  </si>
  <si>
    <t>ME-006</t>
  </si>
  <si>
    <t>ME-007</t>
  </si>
  <si>
    <t>ME-008</t>
  </si>
  <si>
    <t>ME-009</t>
  </si>
  <si>
    <t>ME-010</t>
  </si>
  <si>
    <t>ME-011</t>
  </si>
  <si>
    <t>ME-012</t>
  </si>
  <si>
    <t>ME-013</t>
  </si>
  <si>
    <t>ME-014</t>
  </si>
  <si>
    <t>ME-015</t>
  </si>
  <si>
    <t>ME-016</t>
  </si>
  <si>
    <t>ME-017</t>
  </si>
  <si>
    <t>ME-018</t>
  </si>
  <si>
    <t>ME-019</t>
  </si>
  <si>
    <t>ME-020</t>
  </si>
  <si>
    <t xml:space="preserve">Name of Student </t>
  </si>
  <si>
    <t xml:space="preserve">Department </t>
  </si>
  <si>
    <t>Result</t>
  </si>
  <si>
    <t>Ahmed Khan</t>
  </si>
  <si>
    <t>Sara Ali</t>
  </si>
  <si>
    <t>Zainab Mansoor</t>
  </si>
  <si>
    <t>Omar Farooq</t>
  </si>
  <si>
    <t>Mustafa Hassan</t>
  </si>
  <si>
    <t>Bilal Ahmed</t>
  </si>
  <si>
    <t>Fatima Noor</t>
  </si>
  <si>
    <t>Ibrahim Qureshi</t>
  </si>
  <si>
    <t>Marium Idris</t>
  </si>
  <si>
    <t>Ali Raza</t>
  </si>
  <si>
    <t>Hamza Malik</t>
  </si>
  <si>
    <t>Aisha Siddiqui</t>
  </si>
  <si>
    <t>Hassan Ali</t>
  </si>
  <si>
    <t>Sana Bashir</t>
  </si>
  <si>
    <t>Yusuf Jamal</t>
  </si>
  <si>
    <t xml:space="preserve">Zoya Khan </t>
  </si>
  <si>
    <t>Abdullah Sheikh</t>
  </si>
  <si>
    <t>Omar Sharif</t>
  </si>
  <si>
    <t>Hina Tabassum</t>
  </si>
  <si>
    <t>Saad Mahmood</t>
  </si>
  <si>
    <t xml:space="preserve">Mechanical </t>
  </si>
  <si>
    <t>Electrical</t>
  </si>
  <si>
    <t>Computer Science</t>
  </si>
  <si>
    <t>Chemical</t>
  </si>
  <si>
    <t>Electronics</t>
  </si>
  <si>
    <t>Fail</t>
  </si>
  <si>
    <t>Pass</t>
  </si>
  <si>
    <t>Seat no.</t>
  </si>
  <si>
    <t>Name of student</t>
  </si>
  <si>
    <t>Department</t>
  </si>
  <si>
    <t>VLOOKUP</t>
  </si>
  <si>
    <t>XLOOKUP</t>
  </si>
  <si>
    <t>FILTER</t>
  </si>
  <si>
    <t>Name of Student</t>
  </si>
  <si>
    <t>SORT</t>
  </si>
  <si>
    <t>Item ID</t>
  </si>
  <si>
    <t>Working fluid</t>
  </si>
  <si>
    <t>For working fluid:</t>
  </si>
  <si>
    <t>For Operating temp:</t>
  </si>
  <si>
    <t>Componenet name</t>
  </si>
  <si>
    <t>Operating temperature</t>
  </si>
  <si>
    <t>List fo (T &gt; 20)</t>
  </si>
  <si>
    <t>Efficiency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</si>
</sst>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56A8-3D3C-40C7-984E-907EF6D85A72}">
  <dimension ref="A1:K66"/>
  <sheetViews>
    <sheetView topLeftCell="A25" workbookViewId="0">
      <selection activeCell="D48" sqref="D48"/>
    </sheetView>
  </sheetViews>
  <sheetFormatPr defaultRowHeight="14.5" x14ac:dyDescent="0.35"/>
  <cols>
    <col min="1" max="6" width="18.54296875" customWidth="1"/>
    <col min="7" max="7" width="22.26953125" customWidth="1"/>
    <col min="8" max="8" width="17.26953125" bestFit="1" customWidth="1"/>
    <col min="11" max="11" width="11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21</v>
      </c>
      <c r="C2" s="1" t="s">
        <v>36</v>
      </c>
      <c r="D2" s="1">
        <v>450</v>
      </c>
      <c r="E2" s="1">
        <v>100</v>
      </c>
      <c r="F2" s="1">
        <v>88</v>
      </c>
    </row>
    <row r="3" spans="1:6" x14ac:dyDescent="0.35">
      <c r="A3" s="1" t="s">
        <v>7</v>
      </c>
      <c r="B3" s="1" t="s">
        <v>22</v>
      </c>
      <c r="C3" s="1" t="s">
        <v>37</v>
      </c>
      <c r="D3" s="1">
        <v>45</v>
      </c>
      <c r="E3" s="1">
        <v>0.1</v>
      </c>
      <c r="F3" s="1">
        <v>92</v>
      </c>
    </row>
    <row r="4" spans="1:6" x14ac:dyDescent="0.35">
      <c r="A4" s="1" t="s">
        <v>8</v>
      </c>
      <c r="B4" s="1" t="s">
        <v>23</v>
      </c>
      <c r="C4" s="1" t="s">
        <v>38</v>
      </c>
      <c r="D4" s="1">
        <v>1100</v>
      </c>
      <c r="E4" s="1">
        <v>15</v>
      </c>
      <c r="F4" s="1">
        <v>35</v>
      </c>
    </row>
    <row r="5" spans="1:6" x14ac:dyDescent="0.35">
      <c r="A5" s="1" t="s">
        <v>9</v>
      </c>
      <c r="B5" s="1" t="s">
        <v>24</v>
      </c>
      <c r="C5" s="1" t="s">
        <v>39</v>
      </c>
      <c r="D5" s="1">
        <v>80</v>
      </c>
      <c r="E5" s="1">
        <v>3</v>
      </c>
      <c r="F5" s="1">
        <v>75</v>
      </c>
    </row>
    <row r="6" spans="1:6" x14ac:dyDescent="0.35">
      <c r="A6" s="1" t="s">
        <v>10</v>
      </c>
      <c r="B6" s="1" t="s">
        <v>25</v>
      </c>
      <c r="C6" s="1" t="s">
        <v>40</v>
      </c>
      <c r="D6" s="1">
        <v>60</v>
      </c>
      <c r="E6" s="1">
        <v>12</v>
      </c>
      <c r="F6" s="1">
        <v>82</v>
      </c>
    </row>
    <row r="7" spans="1:6" x14ac:dyDescent="0.35">
      <c r="A7" s="1" t="s">
        <v>11</v>
      </c>
      <c r="B7" s="1" t="s">
        <v>26</v>
      </c>
      <c r="C7" s="1" t="s">
        <v>37</v>
      </c>
      <c r="D7" s="1">
        <v>25</v>
      </c>
      <c r="E7" s="1">
        <v>1</v>
      </c>
      <c r="F7" s="1">
        <v>65</v>
      </c>
    </row>
    <row r="8" spans="1:6" x14ac:dyDescent="0.35">
      <c r="A8" s="1" t="s">
        <v>12</v>
      </c>
      <c r="B8" s="1" t="s">
        <v>27</v>
      </c>
      <c r="C8" s="1" t="s">
        <v>41</v>
      </c>
      <c r="D8" s="1">
        <v>550</v>
      </c>
      <c r="E8" s="1">
        <v>80</v>
      </c>
      <c r="F8" s="1">
        <v>42</v>
      </c>
    </row>
    <row r="9" spans="1:6" x14ac:dyDescent="0.35">
      <c r="A9" s="1" t="s">
        <v>13</v>
      </c>
      <c r="B9" s="1" t="s">
        <v>28</v>
      </c>
      <c r="C9" s="1" t="s">
        <v>37</v>
      </c>
      <c r="D9" s="1">
        <v>30</v>
      </c>
      <c r="E9" s="1">
        <v>105</v>
      </c>
      <c r="F9" s="1">
        <v>78</v>
      </c>
    </row>
    <row r="10" spans="1:6" x14ac:dyDescent="0.35">
      <c r="A10" s="1" t="s">
        <v>14</v>
      </c>
      <c r="B10" s="1" t="s">
        <v>29</v>
      </c>
      <c r="C10" s="1" t="s">
        <v>42</v>
      </c>
      <c r="D10" s="1">
        <v>-10</v>
      </c>
      <c r="E10" s="1">
        <v>2.5</v>
      </c>
      <c r="F10" s="1">
        <v>85</v>
      </c>
    </row>
    <row r="11" spans="1:6" x14ac:dyDescent="0.35">
      <c r="A11" s="1" t="s">
        <v>15</v>
      </c>
      <c r="B11" s="1" t="s">
        <v>30</v>
      </c>
      <c r="C11" s="1" t="s">
        <v>37</v>
      </c>
      <c r="D11" s="1">
        <v>95</v>
      </c>
      <c r="E11" s="1">
        <v>2</v>
      </c>
      <c r="F11" s="1">
        <v>55</v>
      </c>
    </row>
    <row r="12" spans="1:6" x14ac:dyDescent="0.35">
      <c r="A12" s="1" t="s">
        <v>16</v>
      </c>
      <c r="B12" s="1" t="s">
        <v>31</v>
      </c>
      <c r="C12" s="1" t="s">
        <v>43</v>
      </c>
      <c r="D12" s="1">
        <v>90</v>
      </c>
      <c r="E12" s="1">
        <v>1.5</v>
      </c>
      <c r="F12" s="1">
        <v>70</v>
      </c>
    </row>
    <row r="13" spans="1:6" x14ac:dyDescent="0.35">
      <c r="A13" s="1" t="s">
        <v>17</v>
      </c>
      <c r="B13" s="1" t="s">
        <v>32</v>
      </c>
      <c r="C13" s="1" t="s">
        <v>44</v>
      </c>
      <c r="D13" s="1">
        <v>1200</v>
      </c>
      <c r="E13" s="1">
        <v>20</v>
      </c>
      <c r="F13" s="1">
        <v>95</v>
      </c>
    </row>
    <row r="14" spans="1:6" x14ac:dyDescent="0.35">
      <c r="A14" s="1" t="s">
        <v>18</v>
      </c>
      <c r="B14" s="1" t="s">
        <v>33</v>
      </c>
      <c r="C14" s="1" t="s">
        <v>40</v>
      </c>
      <c r="D14" s="1">
        <v>-5</v>
      </c>
      <c r="E14" s="1">
        <v>1.2</v>
      </c>
      <c r="F14" s="1">
        <v>98</v>
      </c>
    </row>
    <row r="15" spans="1:6" x14ac:dyDescent="0.35">
      <c r="A15" s="1" t="s">
        <v>19</v>
      </c>
      <c r="B15" s="1" t="s">
        <v>34</v>
      </c>
      <c r="C15" s="1" t="s">
        <v>45</v>
      </c>
      <c r="D15" s="1">
        <v>300</v>
      </c>
      <c r="E15" s="1">
        <v>5</v>
      </c>
      <c r="F15" s="1">
        <v>90</v>
      </c>
    </row>
    <row r="16" spans="1:6" x14ac:dyDescent="0.35">
      <c r="A16" s="1" t="s">
        <v>20</v>
      </c>
      <c r="B16" s="1" t="s">
        <v>35</v>
      </c>
      <c r="C16" s="1" t="s">
        <v>46</v>
      </c>
      <c r="D16" s="1">
        <v>150</v>
      </c>
      <c r="E16" s="1">
        <v>1.1000000000000001</v>
      </c>
      <c r="F16" s="1">
        <v>88</v>
      </c>
    </row>
    <row r="18" spans="1:7" x14ac:dyDescent="0.35">
      <c r="F18" s="3" t="s">
        <v>101</v>
      </c>
    </row>
    <row r="19" spans="1:7" x14ac:dyDescent="0.35">
      <c r="A19" s="1" t="s">
        <v>47</v>
      </c>
      <c r="B19" s="1" t="s">
        <v>68</v>
      </c>
      <c r="C19" s="1" t="s">
        <v>69</v>
      </c>
      <c r="D19" s="1" t="s">
        <v>70</v>
      </c>
      <c r="F19" t="s">
        <v>47</v>
      </c>
      <c r="G19" t="s">
        <v>67</v>
      </c>
    </row>
    <row r="20" spans="1:7" x14ac:dyDescent="0.35">
      <c r="A20" s="1" t="s">
        <v>48</v>
      </c>
      <c r="B20" s="1" t="s">
        <v>71</v>
      </c>
      <c r="C20" s="1" t="s">
        <v>91</v>
      </c>
      <c r="D20" s="1" t="s">
        <v>96</v>
      </c>
      <c r="F20" t="s">
        <v>68</v>
      </c>
      <c r="G20" t="str">
        <f>VLOOKUP($G$19,$A$20:$D$39,2,0)</f>
        <v>Saad Mahmood</v>
      </c>
    </row>
    <row r="21" spans="1:7" x14ac:dyDescent="0.35">
      <c r="A21" s="1" t="s">
        <v>49</v>
      </c>
      <c r="B21" s="1" t="s">
        <v>72</v>
      </c>
      <c r="C21" s="1" t="s">
        <v>92</v>
      </c>
      <c r="D21" s="1" t="s">
        <v>97</v>
      </c>
      <c r="F21" t="s">
        <v>100</v>
      </c>
      <c r="G21" t="str">
        <f>VLOOKUP($G$19,$A$20:$D$39,3,0)</f>
        <v>Electronics</v>
      </c>
    </row>
    <row r="22" spans="1:7" x14ac:dyDescent="0.35">
      <c r="A22" s="1" t="s">
        <v>50</v>
      </c>
      <c r="B22" s="1" t="s">
        <v>73</v>
      </c>
      <c r="C22" s="1" t="s">
        <v>93</v>
      </c>
      <c r="D22" s="1" t="s">
        <v>96</v>
      </c>
      <c r="F22" t="s">
        <v>70</v>
      </c>
      <c r="G22" t="str">
        <f>VLOOKUP($G$19,$A$20:$D$39,4,0)</f>
        <v>Fail</v>
      </c>
    </row>
    <row r="23" spans="1:7" x14ac:dyDescent="0.35">
      <c r="A23" s="1" t="s">
        <v>51</v>
      </c>
      <c r="B23" s="1" t="s">
        <v>74</v>
      </c>
      <c r="C23" s="1" t="s">
        <v>94</v>
      </c>
      <c r="D23" s="1" t="s">
        <v>97</v>
      </c>
    </row>
    <row r="24" spans="1:7" x14ac:dyDescent="0.35">
      <c r="A24" s="1" t="s">
        <v>52</v>
      </c>
      <c r="B24" s="1" t="s">
        <v>75</v>
      </c>
      <c r="C24" s="1" t="s">
        <v>95</v>
      </c>
      <c r="D24" s="1" t="s">
        <v>97</v>
      </c>
    </row>
    <row r="25" spans="1:7" x14ac:dyDescent="0.35">
      <c r="A25" s="1" t="s">
        <v>53</v>
      </c>
      <c r="B25" s="1" t="s">
        <v>76</v>
      </c>
      <c r="C25" s="1" t="s">
        <v>91</v>
      </c>
      <c r="D25" s="1" t="s">
        <v>97</v>
      </c>
    </row>
    <row r="26" spans="1:7" x14ac:dyDescent="0.35">
      <c r="A26" s="1" t="s">
        <v>54</v>
      </c>
      <c r="B26" s="1" t="s">
        <v>77</v>
      </c>
      <c r="C26" s="1" t="s">
        <v>92</v>
      </c>
      <c r="D26" s="1" t="s">
        <v>96</v>
      </c>
    </row>
    <row r="27" spans="1:7" x14ac:dyDescent="0.35">
      <c r="A27" s="1" t="s">
        <v>55</v>
      </c>
      <c r="B27" s="1" t="s">
        <v>78</v>
      </c>
      <c r="C27" s="1" t="s">
        <v>93</v>
      </c>
      <c r="D27" s="1" t="s">
        <v>97</v>
      </c>
      <c r="F27" s="3" t="s">
        <v>102</v>
      </c>
    </row>
    <row r="28" spans="1:7" x14ac:dyDescent="0.35">
      <c r="A28" s="1" t="s">
        <v>56</v>
      </c>
      <c r="B28" s="1" t="s">
        <v>79</v>
      </c>
      <c r="C28" s="1" t="s">
        <v>94</v>
      </c>
      <c r="D28" s="1" t="s">
        <v>96</v>
      </c>
      <c r="F28" t="s">
        <v>98</v>
      </c>
      <c r="G28" t="s">
        <v>48</v>
      </c>
    </row>
    <row r="29" spans="1:7" x14ac:dyDescent="0.35">
      <c r="A29" s="1" t="s">
        <v>57</v>
      </c>
      <c r="B29" s="1" t="s">
        <v>80</v>
      </c>
      <c r="C29" s="1" t="s">
        <v>95</v>
      </c>
      <c r="D29" s="1" t="s">
        <v>97</v>
      </c>
      <c r="F29" t="s">
        <v>99</v>
      </c>
      <c r="G29" t="str">
        <f>_xlfn.XLOOKUP($G$28,$A$20:$A$39,$B$20:$B$39)</f>
        <v>Ahmed Khan</v>
      </c>
    </row>
    <row r="30" spans="1:7" x14ac:dyDescent="0.35">
      <c r="A30" s="1" t="s">
        <v>58</v>
      </c>
      <c r="B30" s="1" t="s">
        <v>81</v>
      </c>
      <c r="C30" s="1" t="s">
        <v>91</v>
      </c>
      <c r="D30" s="1" t="s">
        <v>96</v>
      </c>
      <c r="F30" t="s">
        <v>100</v>
      </c>
      <c r="G30" t="str">
        <f>_xlfn.XLOOKUP($G$28,$A$20:$A$39,$C$20:$C$39)</f>
        <v xml:space="preserve">Mechanical </v>
      </c>
    </row>
    <row r="31" spans="1:7" x14ac:dyDescent="0.35">
      <c r="A31" s="1" t="s">
        <v>59</v>
      </c>
      <c r="B31" s="1" t="s">
        <v>82</v>
      </c>
      <c r="C31" s="1" t="s">
        <v>92</v>
      </c>
      <c r="D31" s="1" t="s">
        <v>97</v>
      </c>
      <c r="F31" t="s">
        <v>70</v>
      </c>
      <c r="G31" t="str">
        <f>_xlfn.XLOOKUP($G$28,$A$20:$A$39,$D$20:$D$39)</f>
        <v>Fail</v>
      </c>
    </row>
    <row r="32" spans="1:7" x14ac:dyDescent="0.35">
      <c r="A32" s="1" t="s">
        <v>60</v>
      </c>
      <c r="B32" s="1" t="s">
        <v>83</v>
      </c>
      <c r="C32" s="1" t="s">
        <v>93</v>
      </c>
      <c r="D32" s="1" t="s">
        <v>96</v>
      </c>
    </row>
    <row r="33" spans="1:11" x14ac:dyDescent="0.35">
      <c r="A33" s="1" t="s">
        <v>61</v>
      </c>
      <c r="B33" s="1" t="s">
        <v>84</v>
      </c>
      <c r="C33" s="1" t="s">
        <v>94</v>
      </c>
      <c r="D33" s="1" t="s">
        <v>97</v>
      </c>
      <c r="F33" s="3" t="s">
        <v>103</v>
      </c>
    </row>
    <row r="34" spans="1:11" x14ac:dyDescent="0.35">
      <c r="A34" s="1" t="s">
        <v>62</v>
      </c>
      <c r="B34" s="1" t="s">
        <v>85</v>
      </c>
      <c r="C34" s="1" t="s">
        <v>95</v>
      </c>
      <c r="D34" s="1" t="s">
        <v>96</v>
      </c>
      <c r="F34" s="1" t="s">
        <v>104</v>
      </c>
      <c r="G34" s="1" t="s">
        <v>100</v>
      </c>
      <c r="H34" s="1" t="s">
        <v>98</v>
      </c>
      <c r="I34" s="1" t="s">
        <v>70</v>
      </c>
      <c r="K34" s="4" t="s">
        <v>100</v>
      </c>
    </row>
    <row r="35" spans="1:11" x14ac:dyDescent="0.35">
      <c r="A35" s="1" t="s">
        <v>63</v>
      </c>
      <c r="B35" s="1" t="s">
        <v>86</v>
      </c>
      <c r="C35" s="1" t="s">
        <v>91</v>
      </c>
      <c r="D35" s="1" t="s">
        <v>97</v>
      </c>
      <c r="F35" s="1" t="str" cm="1">
        <f t="array" ref="F35:I38">_xlfn._xlws.FILTER(A19:D39,C19:C39=K35,"Not found")</f>
        <v>ME-002</v>
      </c>
      <c r="G35" s="1" t="str">
        <v>Sara Ali</v>
      </c>
      <c r="H35" s="1" t="str">
        <v>Electrical</v>
      </c>
      <c r="I35" s="1" t="str">
        <v>Pass</v>
      </c>
      <c r="K35" s="1" t="s">
        <v>92</v>
      </c>
    </row>
    <row r="36" spans="1:11" x14ac:dyDescent="0.35">
      <c r="A36" s="1" t="s">
        <v>64</v>
      </c>
      <c r="B36" s="1" t="s">
        <v>87</v>
      </c>
      <c r="C36" s="1" t="s">
        <v>92</v>
      </c>
      <c r="D36" s="1" t="s">
        <v>97</v>
      </c>
      <c r="F36" s="1" t="str">
        <v>ME-007</v>
      </c>
      <c r="G36" s="1" t="str">
        <v>Fatima Noor</v>
      </c>
      <c r="H36" s="1" t="str">
        <v>Electrical</v>
      </c>
      <c r="I36" s="1" t="str">
        <v>Fail</v>
      </c>
    </row>
    <row r="37" spans="1:11" x14ac:dyDescent="0.35">
      <c r="A37" s="1" t="s">
        <v>65</v>
      </c>
      <c r="B37" s="1" t="s">
        <v>88</v>
      </c>
      <c r="C37" s="1" t="s">
        <v>93</v>
      </c>
      <c r="D37" s="1" t="s">
        <v>97</v>
      </c>
      <c r="F37" s="1" t="str">
        <v>ME-012</v>
      </c>
      <c r="G37" s="1" t="str">
        <v>Aisha Siddiqui</v>
      </c>
      <c r="H37" s="1" t="str">
        <v>Electrical</v>
      </c>
      <c r="I37" s="1" t="str">
        <v>Pass</v>
      </c>
    </row>
    <row r="38" spans="1:11" x14ac:dyDescent="0.35">
      <c r="A38" s="1" t="s">
        <v>66</v>
      </c>
      <c r="B38" s="1" t="s">
        <v>89</v>
      </c>
      <c r="C38" s="1" t="s">
        <v>94</v>
      </c>
      <c r="D38" s="1" t="s">
        <v>97</v>
      </c>
      <c r="F38" s="1" t="str">
        <v>ME-017</v>
      </c>
      <c r="G38" s="1" t="str">
        <v>Abdullah Sheikh</v>
      </c>
      <c r="H38" s="1" t="str">
        <v>Electrical</v>
      </c>
      <c r="I38" s="1" t="str">
        <v>Pass</v>
      </c>
    </row>
    <row r="39" spans="1:11" x14ac:dyDescent="0.35">
      <c r="A39" s="1" t="s">
        <v>67</v>
      </c>
      <c r="B39" s="1" t="s">
        <v>90</v>
      </c>
      <c r="C39" s="1" t="s">
        <v>95</v>
      </c>
      <c r="D39" s="1" t="s">
        <v>96</v>
      </c>
      <c r="F39" s="1"/>
      <c r="G39" s="1"/>
      <c r="H39" s="1"/>
      <c r="I39" s="1"/>
    </row>
    <row r="40" spans="1:11" x14ac:dyDescent="0.35">
      <c r="F40" s="1"/>
      <c r="G40" s="1"/>
      <c r="H40" s="1"/>
      <c r="I40" s="1"/>
    </row>
    <row r="41" spans="1:11" x14ac:dyDescent="0.35">
      <c r="F41" s="1"/>
      <c r="G41" s="1"/>
      <c r="H41" s="1"/>
      <c r="I41" s="1"/>
    </row>
    <row r="42" spans="1:11" x14ac:dyDescent="0.35">
      <c r="F42" s="1"/>
      <c r="G42" s="1"/>
      <c r="H42" s="1"/>
      <c r="I42" s="1"/>
    </row>
    <row r="43" spans="1:11" x14ac:dyDescent="0.35">
      <c r="F43" s="1"/>
      <c r="G43" s="1"/>
      <c r="H43" s="1"/>
      <c r="I43" s="1"/>
    </row>
    <row r="44" spans="1:11" x14ac:dyDescent="0.35">
      <c r="F44" s="1"/>
      <c r="G44" s="1"/>
      <c r="H44" s="1"/>
      <c r="I44" s="1"/>
    </row>
    <row r="46" spans="1:11" x14ac:dyDescent="0.35">
      <c r="F46" s="3" t="s">
        <v>105</v>
      </c>
    </row>
    <row r="47" spans="1:11" x14ac:dyDescent="0.35">
      <c r="F47" t="str" cm="1">
        <f t="array" ref="F47:I66">_xlfn._xlws.SORT(A20:D39,2,1)</f>
        <v>ME-017</v>
      </c>
      <c r="G47" t="str">
        <v>Abdullah Sheikh</v>
      </c>
      <c r="H47" t="str">
        <v>Electrical</v>
      </c>
      <c r="I47" t="str">
        <v>Pass</v>
      </c>
    </row>
    <row r="48" spans="1:11" x14ac:dyDescent="0.35">
      <c r="F48" t="str">
        <v>ME-001</v>
      </c>
      <c r="G48" t="str">
        <v>Ahmed Khan</v>
      </c>
      <c r="H48" t="str">
        <v xml:space="preserve">Mechanical </v>
      </c>
      <c r="I48" t="str">
        <v>Fail</v>
      </c>
    </row>
    <row r="49" spans="6:9" x14ac:dyDescent="0.35">
      <c r="F49" t="str">
        <v>ME-012</v>
      </c>
      <c r="G49" t="str">
        <v>Aisha Siddiqui</v>
      </c>
      <c r="H49" t="str">
        <v>Electrical</v>
      </c>
      <c r="I49" t="str">
        <v>Pass</v>
      </c>
    </row>
    <row r="50" spans="6:9" x14ac:dyDescent="0.35">
      <c r="F50" t="str">
        <v>ME-010</v>
      </c>
      <c r="G50" t="str">
        <v>Ali Raza</v>
      </c>
      <c r="H50" t="str">
        <v>Electronics</v>
      </c>
      <c r="I50" t="str">
        <v>Pass</v>
      </c>
    </row>
    <row r="51" spans="6:9" x14ac:dyDescent="0.35">
      <c r="F51" t="str">
        <v>ME-006</v>
      </c>
      <c r="G51" t="str">
        <v>Bilal Ahmed</v>
      </c>
      <c r="H51" t="str">
        <v xml:space="preserve">Mechanical </v>
      </c>
      <c r="I51" t="str">
        <v>Pass</v>
      </c>
    </row>
    <row r="52" spans="6:9" x14ac:dyDescent="0.35">
      <c r="F52" t="str">
        <v>ME-007</v>
      </c>
      <c r="G52" t="str">
        <v>Fatima Noor</v>
      </c>
      <c r="H52" t="str">
        <v>Electrical</v>
      </c>
      <c r="I52" t="str">
        <v>Fail</v>
      </c>
    </row>
    <row r="53" spans="6:9" x14ac:dyDescent="0.35">
      <c r="F53" t="str">
        <v>ME-011</v>
      </c>
      <c r="G53" t="str">
        <v>Hamza Malik</v>
      </c>
      <c r="H53" t="str">
        <v xml:space="preserve">Mechanical </v>
      </c>
      <c r="I53" t="str">
        <v>Fail</v>
      </c>
    </row>
    <row r="54" spans="6:9" x14ac:dyDescent="0.35">
      <c r="F54" t="str">
        <v>ME-013</v>
      </c>
      <c r="G54" t="str">
        <v>Hassan Ali</v>
      </c>
      <c r="H54" t="str">
        <v>Computer Science</v>
      </c>
      <c r="I54" t="str">
        <v>Fail</v>
      </c>
    </row>
    <row r="55" spans="6:9" x14ac:dyDescent="0.35">
      <c r="F55" t="str">
        <v>ME-019</v>
      </c>
      <c r="G55" t="str">
        <v>Hina Tabassum</v>
      </c>
      <c r="H55" t="str">
        <v>Chemical</v>
      </c>
      <c r="I55" t="str">
        <v>Pass</v>
      </c>
    </row>
    <row r="56" spans="6:9" x14ac:dyDescent="0.35">
      <c r="F56" t="str">
        <v>ME-008</v>
      </c>
      <c r="G56" t="str">
        <v>Ibrahim Qureshi</v>
      </c>
      <c r="H56" t="str">
        <v>Computer Science</v>
      </c>
      <c r="I56" t="str">
        <v>Pass</v>
      </c>
    </row>
    <row r="57" spans="6:9" x14ac:dyDescent="0.35">
      <c r="F57" t="str">
        <v>ME-009</v>
      </c>
      <c r="G57" t="str">
        <v>Marium Idris</v>
      </c>
      <c r="H57" t="str">
        <v>Chemical</v>
      </c>
      <c r="I57" t="str">
        <v>Fail</v>
      </c>
    </row>
    <row r="58" spans="6:9" x14ac:dyDescent="0.35">
      <c r="F58" t="str">
        <v>ME-005</v>
      </c>
      <c r="G58" t="str">
        <v>Mustafa Hassan</v>
      </c>
      <c r="H58" t="str">
        <v>Electronics</v>
      </c>
      <c r="I58" t="str">
        <v>Pass</v>
      </c>
    </row>
    <row r="59" spans="6:9" x14ac:dyDescent="0.35">
      <c r="F59" t="str">
        <v>ME-004</v>
      </c>
      <c r="G59" t="str">
        <v>Omar Farooq</v>
      </c>
      <c r="H59" t="str">
        <v>Chemical</v>
      </c>
      <c r="I59" t="str">
        <v>Pass</v>
      </c>
    </row>
    <row r="60" spans="6:9" x14ac:dyDescent="0.35">
      <c r="F60" t="str">
        <v>ME-018</v>
      </c>
      <c r="G60" t="str">
        <v>Omar Sharif</v>
      </c>
      <c r="H60" t="str">
        <v>Computer Science</v>
      </c>
      <c r="I60" t="str">
        <v>Pass</v>
      </c>
    </row>
    <row r="61" spans="6:9" x14ac:dyDescent="0.35">
      <c r="F61" t="str">
        <v>ME-020</v>
      </c>
      <c r="G61" t="str">
        <v>Saad Mahmood</v>
      </c>
      <c r="H61" t="str">
        <v>Electronics</v>
      </c>
      <c r="I61" t="str">
        <v>Fail</v>
      </c>
    </row>
    <row r="62" spans="6:9" x14ac:dyDescent="0.35">
      <c r="F62" t="str">
        <v>ME-014</v>
      </c>
      <c r="G62" t="str">
        <v>Sana Bashir</v>
      </c>
      <c r="H62" t="str">
        <v>Chemical</v>
      </c>
      <c r="I62" t="str">
        <v>Pass</v>
      </c>
    </row>
    <row r="63" spans="6:9" x14ac:dyDescent="0.35">
      <c r="F63" t="str">
        <v>ME-002</v>
      </c>
      <c r="G63" t="str">
        <v>Sara Ali</v>
      </c>
      <c r="H63" t="str">
        <v>Electrical</v>
      </c>
      <c r="I63" t="str">
        <v>Pass</v>
      </c>
    </row>
    <row r="64" spans="6:9" x14ac:dyDescent="0.35">
      <c r="F64" t="str">
        <v>ME-015</v>
      </c>
      <c r="G64" t="str">
        <v>Yusuf Jamal</v>
      </c>
      <c r="H64" t="str">
        <v>Electronics</v>
      </c>
      <c r="I64" t="str">
        <v>Fail</v>
      </c>
    </row>
    <row r="65" spans="6:9" x14ac:dyDescent="0.35">
      <c r="F65" t="str">
        <v>ME-003</v>
      </c>
      <c r="G65" t="str">
        <v>Zainab Mansoor</v>
      </c>
      <c r="H65" t="str">
        <v>Computer Science</v>
      </c>
      <c r="I65" t="str">
        <v>Fail</v>
      </c>
    </row>
    <row r="66" spans="6:9" x14ac:dyDescent="0.35">
      <c r="F66" t="str">
        <v>ME-016</v>
      </c>
      <c r="G66" t="str">
        <v xml:space="preserve">Zoya Khan </v>
      </c>
      <c r="H66" t="str">
        <v xml:space="preserve">Mechanical </v>
      </c>
      <c r="I66" t="str">
        <v>Pass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ED76-C018-4D72-883B-E897EBFF329C}">
  <dimension ref="A1:M35"/>
  <sheetViews>
    <sheetView tabSelected="1" zoomScale="55" zoomScaleNormal="55" workbookViewId="0">
      <selection activeCell="B22" sqref="B22"/>
    </sheetView>
  </sheetViews>
  <sheetFormatPr defaultRowHeight="14.5" x14ac:dyDescent="0.35"/>
  <cols>
    <col min="1" max="1" width="17.81640625" bestFit="1" customWidth="1"/>
    <col min="2" max="2" width="20.453125" bestFit="1" customWidth="1"/>
    <col min="3" max="3" width="17.26953125" bestFit="1" customWidth="1"/>
    <col min="4" max="4" width="22" bestFit="1" customWidth="1"/>
    <col min="5" max="5" width="15.54296875" bestFit="1" customWidth="1"/>
    <col min="6" max="6" width="13.1796875" bestFit="1" customWidth="1"/>
    <col min="8" max="8" width="12.7265625" bestFit="1" customWidth="1"/>
    <col min="9" max="9" width="20.453125" bestFit="1" customWidth="1"/>
    <col min="10" max="10" width="17.26953125" bestFit="1" customWidth="1"/>
    <col min="11" max="11" width="19" bestFit="1" customWidth="1"/>
    <col min="12" max="12" width="13.54296875" bestFit="1" customWidth="1"/>
    <col min="13" max="13" width="13.17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21</v>
      </c>
      <c r="C2" s="1" t="s">
        <v>36</v>
      </c>
      <c r="D2" s="1">
        <v>450</v>
      </c>
      <c r="E2" s="1">
        <v>100</v>
      </c>
      <c r="F2" s="1">
        <v>88</v>
      </c>
    </row>
    <row r="3" spans="1:6" x14ac:dyDescent="0.35">
      <c r="A3" s="1" t="s">
        <v>7</v>
      </c>
      <c r="B3" s="1" t="s">
        <v>22</v>
      </c>
      <c r="C3" s="1" t="s">
        <v>37</v>
      </c>
      <c r="D3" s="1">
        <v>45</v>
      </c>
      <c r="E3" s="1">
        <v>0.1</v>
      </c>
      <c r="F3" s="1">
        <v>92</v>
      </c>
    </row>
    <row r="4" spans="1:6" x14ac:dyDescent="0.35">
      <c r="A4" s="1" t="s">
        <v>8</v>
      </c>
      <c r="B4" s="1" t="s">
        <v>23</v>
      </c>
      <c r="C4" s="1" t="s">
        <v>38</v>
      </c>
      <c r="D4" s="1">
        <v>1100</v>
      </c>
      <c r="E4" s="1">
        <v>15</v>
      </c>
      <c r="F4" s="1">
        <v>35</v>
      </c>
    </row>
    <row r="5" spans="1:6" x14ac:dyDescent="0.35">
      <c r="A5" s="1" t="s">
        <v>9</v>
      </c>
      <c r="B5" s="1" t="s">
        <v>24</v>
      </c>
      <c r="C5" s="1" t="s">
        <v>39</v>
      </c>
      <c r="D5" s="1">
        <v>80</v>
      </c>
      <c r="E5" s="1">
        <v>3</v>
      </c>
      <c r="F5" s="1">
        <v>75</v>
      </c>
    </row>
    <row r="6" spans="1:6" x14ac:dyDescent="0.35">
      <c r="A6" s="1" t="s">
        <v>10</v>
      </c>
      <c r="B6" s="1" t="s">
        <v>25</v>
      </c>
      <c r="C6" s="1" t="s">
        <v>40</v>
      </c>
      <c r="D6" s="1">
        <v>60</v>
      </c>
      <c r="E6" s="1">
        <v>12</v>
      </c>
      <c r="F6" s="1">
        <v>82</v>
      </c>
    </row>
    <row r="7" spans="1:6" x14ac:dyDescent="0.35">
      <c r="A7" s="1" t="s">
        <v>11</v>
      </c>
      <c r="B7" s="1" t="s">
        <v>26</v>
      </c>
      <c r="C7" s="1" t="s">
        <v>37</v>
      </c>
      <c r="D7" s="1">
        <v>25</v>
      </c>
      <c r="E7" s="1">
        <v>1</v>
      </c>
      <c r="F7" s="1">
        <v>65</v>
      </c>
    </row>
    <row r="8" spans="1:6" x14ac:dyDescent="0.35">
      <c r="A8" s="1" t="s">
        <v>12</v>
      </c>
      <c r="B8" s="1" t="s">
        <v>27</v>
      </c>
      <c r="C8" s="1" t="s">
        <v>41</v>
      </c>
      <c r="D8" s="1">
        <v>550</v>
      </c>
      <c r="E8" s="1">
        <v>80</v>
      </c>
      <c r="F8" s="1">
        <v>42</v>
      </c>
    </row>
    <row r="9" spans="1:6" x14ac:dyDescent="0.35">
      <c r="A9" s="1" t="s">
        <v>13</v>
      </c>
      <c r="B9" s="1" t="s">
        <v>28</v>
      </c>
      <c r="C9" s="1" t="s">
        <v>37</v>
      </c>
      <c r="D9" s="1">
        <v>30</v>
      </c>
      <c r="E9" s="1">
        <v>105</v>
      </c>
      <c r="F9" s="1">
        <v>78</v>
      </c>
    </row>
    <row r="10" spans="1:6" x14ac:dyDescent="0.35">
      <c r="A10" s="1" t="s">
        <v>14</v>
      </c>
      <c r="B10" s="1" t="s">
        <v>29</v>
      </c>
      <c r="C10" s="1" t="s">
        <v>42</v>
      </c>
      <c r="D10" s="1">
        <v>-10</v>
      </c>
      <c r="E10" s="1">
        <v>2.5</v>
      </c>
      <c r="F10" s="1">
        <v>85</v>
      </c>
    </row>
    <row r="11" spans="1:6" x14ac:dyDescent="0.35">
      <c r="A11" s="1" t="s">
        <v>15</v>
      </c>
      <c r="B11" s="1" t="s">
        <v>30</v>
      </c>
      <c r="C11" s="1" t="s">
        <v>37</v>
      </c>
      <c r="D11" s="1">
        <v>95</v>
      </c>
      <c r="E11" s="1">
        <v>2</v>
      </c>
      <c r="F11" s="1">
        <v>55</v>
      </c>
    </row>
    <row r="12" spans="1:6" x14ac:dyDescent="0.35">
      <c r="A12" s="1" t="s">
        <v>16</v>
      </c>
      <c r="B12" s="1" t="s">
        <v>31</v>
      </c>
      <c r="C12" s="1" t="s">
        <v>43</v>
      </c>
      <c r="D12" s="1">
        <v>90</v>
      </c>
      <c r="E12" s="1">
        <v>1.5</v>
      </c>
      <c r="F12" s="1">
        <v>70</v>
      </c>
    </row>
    <row r="13" spans="1:6" x14ac:dyDescent="0.35">
      <c r="A13" s="1" t="s">
        <v>17</v>
      </c>
      <c r="B13" s="1" t="s">
        <v>32</v>
      </c>
      <c r="C13" s="1" t="s">
        <v>44</v>
      </c>
      <c r="D13" s="1">
        <v>1200</v>
      </c>
      <c r="E13" s="1">
        <v>20</v>
      </c>
      <c r="F13" s="1">
        <v>95</v>
      </c>
    </row>
    <row r="14" spans="1:6" x14ac:dyDescent="0.35">
      <c r="A14" s="1" t="s">
        <v>18</v>
      </c>
      <c r="B14" s="1" t="s">
        <v>33</v>
      </c>
      <c r="C14" s="1" t="s">
        <v>40</v>
      </c>
      <c r="D14" s="1">
        <v>-5</v>
      </c>
      <c r="E14" s="1">
        <v>1.2</v>
      </c>
      <c r="F14" s="1">
        <v>98</v>
      </c>
    </row>
    <row r="15" spans="1:6" x14ac:dyDescent="0.35">
      <c r="A15" s="1" t="s">
        <v>19</v>
      </c>
      <c r="B15" s="1" t="s">
        <v>34</v>
      </c>
      <c r="C15" s="1" t="s">
        <v>45</v>
      </c>
      <c r="D15" s="1">
        <v>300</v>
      </c>
      <c r="E15" s="1">
        <v>5</v>
      </c>
      <c r="F15" s="1">
        <v>90</v>
      </c>
    </row>
    <row r="16" spans="1:6" x14ac:dyDescent="0.35">
      <c r="A16" s="1" t="s">
        <v>20</v>
      </c>
      <c r="B16" s="1" t="s">
        <v>35</v>
      </c>
      <c r="C16" s="1" t="s">
        <v>46</v>
      </c>
      <c r="D16" s="1">
        <v>150</v>
      </c>
      <c r="E16" s="1">
        <v>1.1000000000000001</v>
      </c>
      <c r="F16" s="1">
        <v>88</v>
      </c>
    </row>
    <row r="18" spans="1:13" x14ac:dyDescent="0.35">
      <c r="A18" s="3" t="s">
        <v>108</v>
      </c>
      <c r="D18" s="3" t="s">
        <v>109</v>
      </c>
      <c r="H18" s="3" t="s">
        <v>113</v>
      </c>
    </row>
    <row r="19" spans="1:13" x14ac:dyDescent="0.35">
      <c r="A19" s="1" t="s">
        <v>106</v>
      </c>
      <c r="B19" s="1" t="s">
        <v>107</v>
      </c>
      <c r="D19" s="1" t="s">
        <v>110</v>
      </c>
      <c r="E19" s="1" t="s">
        <v>27</v>
      </c>
      <c r="H19" s="2" t="s">
        <v>0</v>
      </c>
      <c r="I19" s="2" t="s">
        <v>1</v>
      </c>
      <c r="J19" s="2" t="s">
        <v>2</v>
      </c>
      <c r="K19" s="2" t="s">
        <v>3</v>
      </c>
      <c r="L19" s="2" t="s">
        <v>4</v>
      </c>
      <c r="M19" s="2" t="s">
        <v>5</v>
      </c>
    </row>
    <row r="20" spans="1:13" x14ac:dyDescent="0.35">
      <c r="A20" s="1" t="s">
        <v>17</v>
      </c>
      <c r="B20" s="1" t="str">
        <f>VLOOKUP($A$20,$A$2:$F$16,3,0)</f>
        <v>Fuel-Air Mix</v>
      </c>
      <c r="D20" s="1" t="s">
        <v>111</v>
      </c>
      <c r="E20" s="1">
        <f>_xlfn.XLOOKUP($E$19,$B$2:$B$16,$D$2:$D$16)</f>
        <v>550</v>
      </c>
      <c r="H20" s="1" t="str" cm="1">
        <f t="array" ref="H20:M34">_xlfn._xlws.SORT(A2:F16,6,-1)</f>
        <v>TH-13</v>
      </c>
      <c r="I20" s="1" t="str">
        <v>Expansion Valve</v>
      </c>
      <c r="J20" s="1" t="str">
        <v>Refrigerant-134a</v>
      </c>
      <c r="K20" s="1">
        <v>-5</v>
      </c>
      <c r="L20" s="1">
        <v>1.2</v>
      </c>
      <c r="M20" s="1">
        <v>98</v>
      </c>
    </row>
    <row r="21" spans="1:13" x14ac:dyDescent="0.35">
      <c r="H21" s="1" t="str">
        <v>TH-12</v>
      </c>
      <c r="I21" s="1" t="str">
        <v>Combustion Chamber</v>
      </c>
      <c r="J21" s="1" t="str">
        <v>Fuel-Air Mix</v>
      </c>
      <c r="K21" s="1">
        <v>1200</v>
      </c>
      <c r="L21" s="1">
        <v>20</v>
      </c>
      <c r="M21" s="1">
        <v>95</v>
      </c>
    </row>
    <row r="22" spans="1:13" x14ac:dyDescent="0.35">
      <c r="A22" s="3" t="s">
        <v>112</v>
      </c>
      <c r="H22" s="1" t="str">
        <v>TH-02</v>
      </c>
      <c r="I22" s="1" t="str">
        <v>Condenser</v>
      </c>
      <c r="J22" s="1" t="str">
        <v>Water</v>
      </c>
      <c r="K22" s="1">
        <v>45</v>
      </c>
      <c r="L22" s="1">
        <v>0.1</v>
      </c>
      <c r="M22" s="1">
        <v>92</v>
      </c>
    </row>
    <row r="23" spans="1:13" x14ac:dyDescent="0.35">
      <c r="A23" s="1" t="str" cm="1">
        <f t="array" ref="A23:F25">_xlfn._xlws.FILTER(A2:F16,E2:E16&gt;20,"No pressure greater than 20")</f>
        <v>TH-01</v>
      </c>
      <c r="B23" s="1" t="str">
        <v>Boiler</v>
      </c>
      <c r="C23" s="1" t="str">
        <v>Water/Steam</v>
      </c>
      <c r="D23" s="1">
        <v>450</v>
      </c>
      <c r="E23" s="1">
        <v>100</v>
      </c>
      <c r="F23" s="1">
        <v>88</v>
      </c>
      <c r="H23" s="1" t="str">
        <v>TH-14</v>
      </c>
      <c r="I23" s="1" t="str">
        <v>Nozzle</v>
      </c>
      <c r="J23" s="1" t="str">
        <v>High-Pressure Gas</v>
      </c>
      <c r="K23" s="1">
        <v>300</v>
      </c>
      <c r="L23" s="1">
        <v>5</v>
      </c>
      <c r="M23" s="1">
        <v>90</v>
      </c>
    </row>
    <row r="24" spans="1:13" x14ac:dyDescent="0.35">
      <c r="A24" s="1" t="str">
        <v>TH-07</v>
      </c>
      <c r="B24" s="1" t="str">
        <v>Steam Turbine</v>
      </c>
      <c r="C24" s="1" t="str">
        <v>Steam</v>
      </c>
      <c r="D24" s="1">
        <v>550</v>
      </c>
      <c r="E24" s="1">
        <v>80</v>
      </c>
      <c r="F24" s="1">
        <v>42</v>
      </c>
      <c r="H24" s="1" t="str">
        <v>TH-01</v>
      </c>
      <c r="I24" s="1" t="str">
        <v>Boiler</v>
      </c>
      <c r="J24" s="1" t="str">
        <v>Water/Steam</v>
      </c>
      <c r="K24" s="1">
        <v>450</v>
      </c>
      <c r="L24" s="1">
        <v>100</v>
      </c>
      <c r="M24" s="1">
        <v>88</v>
      </c>
    </row>
    <row r="25" spans="1:13" x14ac:dyDescent="0.35">
      <c r="A25" s="1" t="str">
        <v>TH-08</v>
      </c>
      <c r="B25" s="1" t="str">
        <v>Pump</v>
      </c>
      <c r="C25" s="1" t="str">
        <v>Water</v>
      </c>
      <c r="D25" s="1">
        <v>30</v>
      </c>
      <c r="E25" s="1">
        <v>105</v>
      </c>
      <c r="F25" s="1">
        <v>78</v>
      </c>
      <c r="H25" s="1" t="str">
        <v>TH-15</v>
      </c>
      <c r="I25" s="1" t="str">
        <v>Diffuser</v>
      </c>
      <c r="J25" s="1" t="str">
        <v>Low-Velocity Air</v>
      </c>
      <c r="K25" s="1">
        <v>150</v>
      </c>
      <c r="L25" s="1">
        <v>1.1000000000000001</v>
      </c>
      <c r="M25" s="1">
        <v>88</v>
      </c>
    </row>
    <row r="26" spans="1:13" x14ac:dyDescent="0.35">
      <c r="A26" s="1"/>
      <c r="B26" s="1"/>
      <c r="C26" s="1"/>
      <c r="D26" s="1"/>
      <c r="E26" s="1"/>
      <c r="F26" s="1"/>
      <c r="H26" s="1" t="str">
        <v>TH-09</v>
      </c>
      <c r="I26" s="1" t="str">
        <v>Evaporator</v>
      </c>
      <c r="J26" s="1" t="str">
        <v>Refrigerant-22</v>
      </c>
      <c r="K26" s="1">
        <v>-10</v>
      </c>
      <c r="L26" s="1">
        <v>2.5</v>
      </c>
      <c r="M26" s="1">
        <v>85</v>
      </c>
    </row>
    <row r="27" spans="1:13" x14ac:dyDescent="0.35">
      <c r="A27" s="1"/>
      <c r="B27" s="1"/>
      <c r="C27" s="1"/>
      <c r="D27" s="1"/>
      <c r="E27" s="1"/>
      <c r="F27" s="1"/>
      <c r="H27" s="1" t="str">
        <v>TH-05</v>
      </c>
      <c r="I27" s="1" t="str">
        <v>Compressor</v>
      </c>
      <c r="J27" s="1" t="str">
        <v>Refrigerant-134a</v>
      </c>
      <c r="K27" s="1">
        <v>60</v>
      </c>
      <c r="L27" s="1">
        <v>12</v>
      </c>
      <c r="M27" s="1">
        <v>82</v>
      </c>
    </row>
    <row r="28" spans="1:13" x14ac:dyDescent="0.35">
      <c r="A28" s="1"/>
      <c r="B28" s="1"/>
      <c r="C28" s="1"/>
      <c r="D28" s="1"/>
      <c r="E28" s="1"/>
      <c r="F28" s="1"/>
      <c r="H28" s="1" t="str">
        <v>TH-08</v>
      </c>
      <c r="I28" s="1" t="str">
        <v>Pump</v>
      </c>
      <c r="J28" s="1" t="str">
        <v>Water</v>
      </c>
      <c r="K28" s="1">
        <v>30</v>
      </c>
      <c r="L28" s="1">
        <v>105</v>
      </c>
      <c r="M28" s="1">
        <v>78</v>
      </c>
    </row>
    <row r="29" spans="1:13" x14ac:dyDescent="0.35">
      <c r="A29" s="1"/>
      <c r="B29" s="1"/>
      <c r="C29" s="1"/>
      <c r="D29" s="1"/>
      <c r="E29" s="1"/>
      <c r="F29" s="1"/>
      <c r="H29" s="1" t="str">
        <v>TH-04</v>
      </c>
      <c r="I29" s="1" t="str">
        <v>Heat Exchanger</v>
      </c>
      <c r="J29" s="1" t="str">
        <v>Ethylene Glycol</v>
      </c>
      <c r="K29" s="1">
        <v>80</v>
      </c>
      <c r="L29" s="1">
        <v>3</v>
      </c>
      <c r="M29" s="1">
        <v>75</v>
      </c>
    </row>
    <row r="30" spans="1:13" x14ac:dyDescent="0.35">
      <c r="A30" s="1"/>
      <c r="B30" s="1"/>
      <c r="C30" s="1"/>
      <c r="D30" s="1"/>
      <c r="E30" s="1"/>
      <c r="F30" s="1"/>
      <c r="H30" s="1" t="str">
        <v>TH-11</v>
      </c>
      <c r="I30" s="1" t="str">
        <v>Radiator</v>
      </c>
      <c r="J30" s="1" t="str">
        <v>Coolant</v>
      </c>
      <c r="K30" s="1">
        <v>90</v>
      </c>
      <c r="L30" s="1">
        <v>1.5</v>
      </c>
      <c r="M30" s="1">
        <v>70</v>
      </c>
    </row>
    <row r="31" spans="1:13" x14ac:dyDescent="0.35">
      <c r="A31" s="1"/>
      <c r="B31" s="1"/>
      <c r="C31" s="1"/>
      <c r="D31" s="1"/>
      <c r="E31" s="1"/>
      <c r="F31" s="1"/>
      <c r="H31" s="1" t="str">
        <v>TH-06</v>
      </c>
      <c r="I31" s="1" t="str">
        <v>Cooling Tower</v>
      </c>
      <c r="J31" s="1" t="str">
        <v>Water</v>
      </c>
      <c r="K31" s="1">
        <v>25</v>
      </c>
      <c r="L31" s="1">
        <v>1</v>
      </c>
      <c r="M31" s="1">
        <v>65</v>
      </c>
    </row>
    <row r="32" spans="1:13" x14ac:dyDescent="0.35">
      <c r="A32" s="1"/>
      <c r="B32" s="1"/>
      <c r="C32" s="1"/>
      <c r="D32" s="1"/>
      <c r="E32" s="1"/>
      <c r="F32" s="1"/>
      <c r="H32" s="1" t="str">
        <v>TH-10</v>
      </c>
      <c r="I32" s="1" t="str">
        <v>Solar Collector</v>
      </c>
      <c r="J32" s="1" t="str">
        <v>Water</v>
      </c>
      <c r="K32" s="1">
        <v>95</v>
      </c>
      <c r="L32" s="1">
        <v>2</v>
      </c>
      <c r="M32" s="1">
        <v>55</v>
      </c>
    </row>
    <row r="33" spans="1:13" x14ac:dyDescent="0.35">
      <c r="A33" s="1"/>
      <c r="B33" s="1"/>
      <c r="C33" s="1"/>
      <c r="D33" s="1"/>
      <c r="E33" s="1"/>
      <c r="F33" s="1"/>
      <c r="H33" s="1" t="str">
        <v>TH-07</v>
      </c>
      <c r="I33" s="1" t="str">
        <v>Steam Turbine</v>
      </c>
      <c r="J33" s="1" t="str">
        <v>Steam</v>
      </c>
      <c r="K33" s="1">
        <v>550</v>
      </c>
      <c r="L33" s="1">
        <v>80</v>
      </c>
      <c r="M33" s="1">
        <v>42</v>
      </c>
    </row>
    <row r="34" spans="1:13" x14ac:dyDescent="0.35">
      <c r="A34" s="1"/>
      <c r="B34" s="1"/>
      <c r="C34" s="1"/>
      <c r="D34" s="1"/>
      <c r="E34" s="1"/>
      <c r="F34" s="1"/>
      <c r="H34" s="1" t="str">
        <v>TH-03</v>
      </c>
      <c r="I34" s="1" t="str">
        <v>Gas Turbine</v>
      </c>
      <c r="J34" s="1" t="str">
        <v>Air</v>
      </c>
      <c r="K34" s="1">
        <v>1100</v>
      </c>
      <c r="L34" s="1">
        <v>15</v>
      </c>
      <c r="M34" s="1">
        <v>35</v>
      </c>
    </row>
    <row r="35" spans="1:13" x14ac:dyDescent="0.35">
      <c r="A35" s="1"/>
      <c r="B35" s="1"/>
      <c r="C35" s="1"/>
      <c r="D35" s="1"/>
      <c r="E35" s="1"/>
      <c r="F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Practical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Irfan</dc:creator>
  <cp:lastModifiedBy>Abdullah Irfan</cp:lastModifiedBy>
  <dcterms:created xsi:type="dcterms:W3CDTF">2026-04-08T15:36:17Z</dcterms:created>
  <dcterms:modified xsi:type="dcterms:W3CDTF">2026-04-09T09:16:12Z</dcterms:modified>
</cp:coreProperties>
</file>