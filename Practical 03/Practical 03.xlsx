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bdu\OneDrive\Desktop\New folder\2ND SEMESTER\IT Fundamenals &amp; Applications MF-101\IT WORKBOOK\3\"/>
    </mc:Choice>
  </mc:AlternateContent>
  <xr:revisionPtr revIDLastSave="0" documentId="13_ncr:1_{CBB5F815-0EE3-4BA4-B467-AD7CC0BA428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Drawing Review" sheetId="1" r:id="rId1"/>
    <sheet name="Solar Arrays" sheetId="2" r:id="rId2"/>
    <sheet name="Battery Uni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2" i="3"/>
  <c r="F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<sst xmlns="http://schemas.openxmlformats.org/spreadsheetml/2006/main" count="136" uniqueCount="75">
  <si>
    <t>Drawing ID</t>
  </si>
  <si>
    <t>Sheet Size</t>
  </si>
  <si>
    <t>Scale</t>
  </si>
  <si>
    <t>Dimension Errors</t>
  </si>
  <si>
    <t>Material Note</t>
  </si>
  <si>
    <t>A3</t>
  </si>
  <si>
    <t>1:1</t>
  </si>
  <si>
    <t>Included</t>
  </si>
  <si>
    <t>A4</t>
  </si>
  <si>
    <t>2:2</t>
  </si>
  <si>
    <t>Missing</t>
  </si>
  <si>
    <t>A2</t>
  </si>
  <si>
    <t>1:3</t>
  </si>
  <si>
    <t>1:5</t>
  </si>
  <si>
    <t>1:4</t>
  </si>
  <si>
    <t>A1</t>
  </si>
  <si>
    <t>1:7</t>
  </si>
  <si>
    <t>3:1</t>
  </si>
  <si>
    <t>1:9</t>
  </si>
  <si>
    <t>1:10</t>
  </si>
  <si>
    <t>1:15</t>
  </si>
  <si>
    <t>1:12</t>
  </si>
  <si>
    <t>1:21</t>
  </si>
  <si>
    <t>Array ID</t>
  </si>
  <si>
    <t>Panel Type</t>
  </si>
  <si>
    <t>Irradiance (W/m2)</t>
  </si>
  <si>
    <t>Energy Output (kWh)</t>
  </si>
  <si>
    <t>Operating Temp (°C)</t>
  </si>
  <si>
    <t>Efficiency (%)</t>
  </si>
  <si>
    <t>001</t>
  </si>
  <si>
    <t>Monocrystalline</t>
  </si>
  <si>
    <t>002</t>
  </si>
  <si>
    <t>Polycrystalline</t>
  </si>
  <si>
    <t>003</t>
  </si>
  <si>
    <t>Thin Film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</si>
  <si>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</si>
  <si>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</si>
  <si>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</si>
  <si>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</si>
  <si>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</si>
  <si>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</si>
  <si>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</si>
  <si>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</si>
  <si>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</si>
  <si>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</si>
  <si>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</si>
  <si>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</si>
  <si>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Unit ID</t>
  </si>
  <si>
    <t>Charge (%)</t>
  </si>
  <si>
    <t>Temp (°C)</t>
  </si>
  <si>
    <t>Voltage (V)</t>
  </si>
  <si>
    <t>Cycles</t>
  </si>
  <si>
    <t>Operational Logic</t>
  </si>
  <si>
    <t>Safety Logic</t>
  </si>
  <si>
    <t>BT-01</t>
  </si>
  <si>
    <t>BT-02</t>
  </si>
  <si>
    <t>BT-03</t>
  </si>
  <si>
    <t>BT-04</t>
  </si>
  <si>
    <t>BT-05</t>
  </si>
  <si>
    <t>BT-06</t>
  </si>
  <si>
    <t>BT-07</t>
  </si>
  <si>
    <t>BT-08</t>
  </si>
  <si>
    <t>BT-09</t>
  </si>
  <si>
    <t>BT-10</t>
  </si>
  <si>
    <t>BT-11</t>
  </si>
  <si>
    <t>BT-12</t>
  </si>
  <si>
    <t>BT-13</t>
  </si>
  <si>
    <t>BT-14</t>
  </si>
  <si>
    <t>BT-15</t>
  </si>
  <si>
    <t>Approval Status (IF)</t>
  </si>
  <si>
    <t>Approval Status (Nested IF)</t>
  </si>
  <si>
    <t>Approval Status (T/F)</t>
  </si>
  <si>
    <t>Approval Status (OR)</t>
  </si>
  <si>
    <t>AND(B2&gt;50,D2&gt;390)</t>
  </si>
  <si>
    <t>OR(C2&gt;60,E2&gt;1000)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</si>
</sst>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="70" zoomScaleNormal="70" workbookViewId="0">
      <pane ySplit="1" topLeftCell="A2" activePane="bottomLeft" state="frozen"/>
      <selection pane="bottomLeft" activeCell="J22" sqref="J22"/>
    </sheetView>
  </sheetViews>
  <sheetFormatPr defaultRowHeight="14.5" x14ac:dyDescent="0.35"/>
  <cols>
    <col min="1" max="1" width="12" customWidth="1"/>
    <col min="2" max="3" width="10" customWidth="1"/>
    <col min="4" max="4" width="18" customWidth="1"/>
    <col min="5" max="5" width="14" customWidth="1"/>
    <col min="6" max="6" width="17.81640625" bestFit="1" customWidth="1"/>
    <col min="8" max="8" width="24.1796875" style="5" bestFit="1" customWidth="1"/>
    <col min="9" max="9" width="8.90625" style="5"/>
    <col min="10" max="10" width="19.08984375" style="5" bestFit="1" customWidth="1"/>
    <col min="11" max="11" width="8.90625" style="5"/>
    <col min="12" max="12" width="18.81640625" style="5" bestFit="1" customWidth="1"/>
  </cols>
  <sheetData>
    <row r="1" spans="1:12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</v>
      </c>
      <c r="H1" s="1" t="s">
        <v>70</v>
      </c>
      <c r="J1" s="1" t="s">
        <v>71</v>
      </c>
      <c r="L1" s="1" t="s">
        <v>72</v>
      </c>
    </row>
    <row r="2" spans="1:12" ht="18" customHeight="1" x14ac:dyDescent="0.35">
      <c r="A2" s="2">
        <v>1001</v>
      </c>
      <c r="B2" s="3" t="s">
        <v>5</v>
      </c>
      <c r="C2" s="3" t="s">
        <v>6</v>
      </c>
      <c r="D2" s="2">
        <v>0</v>
      </c>
      <c r="E2" s="3" t="s">
        <v>7</v>
      </c>
      <c r="F2" s="3" t="str">
        <f>IF(D2=0,"Accurate","Fix Error")</f>
        <v>Accurate</v>
      </c>
      <c r="H2" s="5" t="str">
        <f>IF(D2=0,"Accurate",IF(D2&lt;=2,"Reviewed","Rejected"))</f>
        <v>Accurate</v>
      </c>
      <c r="J2" s="5" t="b">
        <f>AND(D2=0,E2="Included")</f>
        <v>1</v>
      </c>
      <c r="L2" s="5" t="b">
        <f>OR(D2=0,E2="Included")</f>
        <v>1</v>
      </c>
    </row>
    <row r="3" spans="1:12" ht="18" customHeight="1" x14ac:dyDescent="0.35">
      <c r="A3" s="2">
        <v>1001</v>
      </c>
      <c r="B3" s="3" t="s">
        <v>8</v>
      </c>
      <c r="C3" s="3" t="s">
        <v>9</v>
      </c>
      <c r="D3" s="2">
        <v>3</v>
      </c>
      <c r="E3" s="3" t="s">
        <v>10</v>
      </c>
      <c r="F3" s="3" t="str">
        <f t="shared" ref="F3:F16" si="0">IF(D3=0,"Accurate","Fix Error")</f>
        <v>Fix Error</v>
      </c>
      <c r="H3" s="5" t="str">
        <f t="shared" ref="H3:H16" si="1">IF(D3=0,"Accurate",IF(D3&lt;=2,"Reviewed","Rejected"))</f>
        <v>Rejected</v>
      </c>
      <c r="J3" s="5" t="b">
        <f t="shared" ref="J3:J16" si="2">AND(D3=0,E3="Included")</f>
        <v>0</v>
      </c>
      <c r="L3" s="5" t="b">
        <f t="shared" ref="L3:L16" si="3">OR(D3=0,E3="Included")</f>
        <v>0</v>
      </c>
    </row>
    <row r="4" spans="1:12" ht="18" customHeight="1" x14ac:dyDescent="0.35">
      <c r="A4" s="2">
        <v>1001</v>
      </c>
      <c r="B4" s="3" t="s">
        <v>11</v>
      </c>
      <c r="C4" s="3" t="s">
        <v>12</v>
      </c>
      <c r="D4" s="2">
        <v>0</v>
      </c>
      <c r="E4" s="3" t="s">
        <v>7</v>
      </c>
      <c r="F4" s="3" t="str">
        <f t="shared" si="0"/>
        <v>Accurate</v>
      </c>
      <c r="H4" s="5" t="str">
        <f t="shared" si="1"/>
        <v>Accurate</v>
      </c>
      <c r="J4" s="5" t="b">
        <f t="shared" si="2"/>
        <v>1</v>
      </c>
      <c r="L4" s="5" t="b">
        <f t="shared" si="3"/>
        <v>1</v>
      </c>
    </row>
    <row r="5" spans="1:12" ht="18" customHeight="1" x14ac:dyDescent="0.35">
      <c r="A5" s="2">
        <v>1001</v>
      </c>
      <c r="B5" s="3" t="s">
        <v>5</v>
      </c>
      <c r="C5" s="3" t="s">
        <v>13</v>
      </c>
      <c r="D5" s="2">
        <v>1</v>
      </c>
      <c r="E5" s="3" t="s">
        <v>7</v>
      </c>
      <c r="F5" s="3" t="str">
        <f t="shared" si="0"/>
        <v>Fix Error</v>
      </c>
      <c r="H5" s="5" t="str">
        <f t="shared" si="1"/>
        <v>Reviewed</v>
      </c>
      <c r="J5" s="5" t="b">
        <f t="shared" si="2"/>
        <v>0</v>
      </c>
      <c r="L5" s="5" t="b">
        <f t="shared" si="3"/>
        <v>1</v>
      </c>
    </row>
    <row r="6" spans="1:12" ht="18" customHeight="1" x14ac:dyDescent="0.35">
      <c r="A6" s="2">
        <v>1001</v>
      </c>
      <c r="B6" s="3" t="s">
        <v>8</v>
      </c>
      <c r="C6" s="3" t="s">
        <v>13</v>
      </c>
      <c r="D6" s="2">
        <v>0</v>
      </c>
      <c r="E6" s="3" t="s">
        <v>10</v>
      </c>
      <c r="F6" s="3" t="str">
        <f t="shared" si="0"/>
        <v>Accurate</v>
      </c>
      <c r="H6" s="5" t="str">
        <f t="shared" si="1"/>
        <v>Accurate</v>
      </c>
      <c r="J6" s="5" t="b">
        <f t="shared" si="2"/>
        <v>0</v>
      </c>
      <c r="L6" s="5" t="b">
        <f t="shared" si="3"/>
        <v>1</v>
      </c>
    </row>
    <row r="7" spans="1:12" ht="18" customHeight="1" x14ac:dyDescent="0.35">
      <c r="A7" s="2">
        <v>1001</v>
      </c>
      <c r="B7" s="3" t="s">
        <v>5</v>
      </c>
      <c r="C7" s="3" t="s">
        <v>14</v>
      </c>
      <c r="D7" s="2">
        <v>5</v>
      </c>
      <c r="E7" s="3" t="s">
        <v>7</v>
      </c>
      <c r="F7" s="3" t="str">
        <f t="shared" si="0"/>
        <v>Fix Error</v>
      </c>
      <c r="H7" s="5" t="str">
        <f t="shared" si="1"/>
        <v>Rejected</v>
      </c>
      <c r="J7" s="5" t="b">
        <f t="shared" si="2"/>
        <v>0</v>
      </c>
      <c r="L7" s="5" t="b">
        <f t="shared" si="3"/>
        <v>1</v>
      </c>
    </row>
    <row r="8" spans="1:12" ht="18" customHeight="1" x14ac:dyDescent="0.35">
      <c r="A8" s="2">
        <v>1001</v>
      </c>
      <c r="B8" s="3" t="s">
        <v>15</v>
      </c>
      <c r="C8" s="3" t="s">
        <v>16</v>
      </c>
      <c r="D8" s="2">
        <v>0</v>
      </c>
      <c r="E8" s="3" t="s">
        <v>7</v>
      </c>
      <c r="F8" s="3" t="str">
        <f t="shared" si="0"/>
        <v>Accurate</v>
      </c>
      <c r="H8" s="5" t="str">
        <f t="shared" si="1"/>
        <v>Accurate</v>
      </c>
      <c r="J8" s="5" t="b">
        <f t="shared" si="2"/>
        <v>1</v>
      </c>
      <c r="L8" s="5" t="b">
        <f t="shared" si="3"/>
        <v>1</v>
      </c>
    </row>
    <row r="9" spans="1:12" ht="18" customHeight="1" x14ac:dyDescent="0.35">
      <c r="A9" s="2">
        <v>1001</v>
      </c>
      <c r="B9" s="3" t="s">
        <v>8</v>
      </c>
      <c r="C9" s="3" t="s">
        <v>17</v>
      </c>
      <c r="D9" s="2">
        <v>2</v>
      </c>
      <c r="E9" s="3" t="s">
        <v>7</v>
      </c>
      <c r="F9" s="3" t="str">
        <f t="shared" si="0"/>
        <v>Fix Error</v>
      </c>
      <c r="H9" s="5" t="str">
        <f t="shared" si="1"/>
        <v>Reviewed</v>
      </c>
      <c r="J9" s="5" t="b">
        <f t="shared" si="2"/>
        <v>0</v>
      </c>
      <c r="L9" s="5" t="b">
        <f t="shared" si="3"/>
        <v>1</v>
      </c>
    </row>
    <row r="10" spans="1:12" ht="18" customHeight="1" x14ac:dyDescent="0.35">
      <c r="A10" s="2">
        <v>1001</v>
      </c>
      <c r="B10" s="3" t="s">
        <v>5</v>
      </c>
      <c r="C10" s="3" t="s">
        <v>18</v>
      </c>
      <c r="D10" s="2">
        <v>0</v>
      </c>
      <c r="E10" s="3" t="s">
        <v>10</v>
      </c>
      <c r="F10" s="3" t="str">
        <f t="shared" si="0"/>
        <v>Accurate</v>
      </c>
      <c r="H10" s="5" t="str">
        <f t="shared" si="1"/>
        <v>Accurate</v>
      </c>
      <c r="J10" s="5" t="b">
        <f t="shared" si="2"/>
        <v>0</v>
      </c>
      <c r="L10" s="5" t="b">
        <f t="shared" si="3"/>
        <v>1</v>
      </c>
    </row>
    <row r="11" spans="1:12" ht="18" customHeight="1" x14ac:dyDescent="0.35">
      <c r="A11" s="2">
        <v>1001</v>
      </c>
      <c r="B11" s="3" t="s">
        <v>11</v>
      </c>
      <c r="C11" s="3" t="s">
        <v>19</v>
      </c>
      <c r="D11" s="2">
        <v>0</v>
      </c>
      <c r="E11" s="3" t="s">
        <v>7</v>
      </c>
      <c r="F11" s="3" t="str">
        <f t="shared" si="0"/>
        <v>Accurate</v>
      </c>
      <c r="H11" s="5" t="str">
        <f t="shared" si="1"/>
        <v>Accurate</v>
      </c>
      <c r="J11" s="5" t="b">
        <f t="shared" si="2"/>
        <v>1</v>
      </c>
      <c r="L11" s="5" t="b">
        <f t="shared" si="3"/>
        <v>1</v>
      </c>
    </row>
    <row r="12" spans="1:12" ht="18" customHeight="1" x14ac:dyDescent="0.35">
      <c r="A12" s="2">
        <v>1001</v>
      </c>
      <c r="B12" s="3" t="s">
        <v>8</v>
      </c>
      <c r="C12" s="3" t="s">
        <v>20</v>
      </c>
      <c r="D12" s="2">
        <v>0</v>
      </c>
      <c r="E12" s="3" t="s">
        <v>7</v>
      </c>
      <c r="F12" s="3" t="str">
        <f t="shared" si="0"/>
        <v>Accurate</v>
      </c>
      <c r="H12" s="5" t="str">
        <f t="shared" si="1"/>
        <v>Accurate</v>
      </c>
      <c r="J12" s="5" t="b">
        <f t="shared" si="2"/>
        <v>1</v>
      </c>
      <c r="L12" s="5" t="b">
        <f t="shared" si="3"/>
        <v>1</v>
      </c>
    </row>
    <row r="13" spans="1:12" ht="18" customHeight="1" x14ac:dyDescent="0.35">
      <c r="A13" s="2">
        <v>1001</v>
      </c>
      <c r="B13" s="3" t="s">
        <v>5</v>
      </c>
      <c r="C13" s="3" t="s">
        <v>21</v>
      </c>
      <c r="D13" s="2">
        <v>4</v>
      </c>
      <c r="E13" s="3" t="s">
        <v>10</v>
      </c>
      <c r="F13" s="3" t="str">
        <f t="shared" si="0"/>
        <v>Fix Error</v>
      </c>
      <c r="H13" s="5" t="str">
        <f t="shared" si="1"/>
        <v>Rejected</v>
      </c>
      <c r="J13" s="5" t="b">
        <f t="shared" si="2"/>
        <v>0</v>
      </c>
      <c r="L13" s="5" t="b">
        <f t="shared" si="3"/>
        <v>0</v>
      </c>
    </row>
    <row r="14" spans="1:12" ht="18" customHeight="1" x14ac:dyDescent="0.35">
      <c r="A14" s="2">
        <v>1001</v>
      </c>
      <c r="B14" s="3" t="s">
        <v>15</v>
      </c>
      <c r="C14" s="3" t="s">
        <v>22</v>
      </c>
      <c r="D14" s="2">
        <v>0</v>
      </c>
      <c r="E14" s="3" t="s">
        <v>7</v>
      </c>
      <c r="F14" s="3" t="str">
        <f t="shared" si="0"/>
        <v>Accurate</v>
      </c>
      <c r="H14" s="5" t="str">
        <f t="shared" si="1"/>
        <v>Accurate</v>
      </c>
      <c r="J14" s="5" t="b">
        <f t="shared" si="2"/>
        <v>1</v>
      </c>
      <c r="L14" s="5" t="b">
        <f t="shared" si="3"/>
        <v>1</v>
      </c>
    </row>
    <row r="15" spans="1:12" ht="18" customHeight="1" x14ac:dyDescent="0.35">
      <c r="A15" s="2">
        <v>1001</v>
      </c>
      <c r="B15" s="3" t="s">
        <v>8</v>
      </c>
      <c r="C15" s="3" t="s">
        <v>17</v>
      </c>
      <c r="D15" s="2">
        <v>1</v>
      </c>
      <c r="E15" s="3" t="s">
        <v>10</v>
      </c>
      <c r="F15" s="3" t="str">
        <f t="shared" si="0"/>
        <v>Fix Error</v>
      </c>
      <c r="H15" s="5" t="str">
        <f t="shared" si="1"/>
        <v>Reviewed</v>
      </c>
      <c r="J15" s="5" t="b">
        <f t="shared" si="2"/>
        <v>0</v>
      </c>
      <c r="L15" s="5" t="b">
        <f t="shared" si="3"/>
        <v>0</v>
      </c>
    </row>
    <row r="16" spans="1:12" ht="18" customHeight="1" x14ac:dyDescent="0.35">
      <c r="A16" s="2">
        <v>1001</v>
      </c>
      <c r="B16" s="3" t="s">
        <v>11</v>
      </c>
      <c r="C16" s="3" t="s">
        <v>20</v>
      </c>
      <c r="D16" s="2">
        <v>0</v>
      </c>
      <c r="E16" s="3" t="s">
        <v>7</v>
      </c>
      <c r="F16" s="3" t="str">
        <f t="shared" si="0"/>
        <v>Accurate</v>
      </c>
      <c r="H16" s="5" t="str">
        <f t="shared" si="1"/>
        <v>Accurate</v>
      </c>
      <c r="J16" s="5" t="b">
        <f t="shared" si="2"/>
        <v>1</v>
      </c>
      <c r="L16" s="5" t="b">
        <f t="shared" si="3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85" zoomScaleNormal="85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0" customWidth="1"/>
    <col min="2" max="3" width="18" customWidth="1"/>
    <col min="4" max="4" width="20" customWidth="1"/>
    <col min="5" max="5" width="18" customWidth="1"/>
    <col min="6" max="6" width="14" customWidth="1"/>
  </cols>
  <sheetData>
    <row r="1" spans="1:6" ht="20" customHeight="1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ht="18" customHeight="1" x14ac:dyDescent="0.35">
      <c r="A2" s="3" t="s">
        <v>29</v>
      </c>
      <c r="B2" s="3" t="s">
        <v>30</v>
      </c>
      <c r="C2" s="2">
        <v>950</v>
      </c>
      <c r="D2" s="4">
        <v>45.5</v>
      </c>
      <c r="E2" s="2">
        <v>42</v>
      </c>
      <c r="F2" s="4">
        <v>21.2</v>
      </c>
    </row>
    <row r="3" spans="1:6" ht="18" customHeight="1" x14ac:dyDescent="0.35">
      <c r="A3" s="3" t="s">
        <v>31</v>
      </c>
      <c r="B3" s="3" t="s">
        <v>32</v>
      </c>
      <c r="C3" s="2">
        <v>880</v>
      </c>
      <c r="D3" s="4">
        <v>32.1</v>
      </c>
      <c r="E3" s="2">
        <v>48</v>
      </c>
      <c r="F3" s="4">
        <v>15.8</v>
      </c>
    </row>
    <row r="4" spans="1:6" ht="18" customHeight="1" x14ac:dyDescent="0.35">
      <c r="A4" s="3" t="s">
        <v>33</v>
      </c>
      <c r="B4" s="3" t="s">
        <v>34</v>
      </c>
      <c r="C4" s="2">
        <v>910</v>
      </c>
      <c r="D4" s="4">
        <v>28.4</v>
      </c>
      <c r="E4" s="2">
        <v>35</v>
      </c>
      <c r="F4" s="4">
        <v>12.1</v>
      </c>
    </row>
    <row r="5" spans="1:6" ht="18" customHeight="1" x14ac:dyDescent="0.35">
      <c r="A5" s="3" t="s">
        <v>35</v>
      </c>
      <c r="B5" s="3" t="s">
        <v>30</v>
      </c>
      <c r="C5" s="2">
        <v>1000</v>
      </c>
      <c r="D5" s="4">
        <v>48.2</v>
      </c>
      <c r="E5" s="2">
        <v>55</v>
      </c>
      <c r="F5" s="4">
        <v>20.5</v>
      </c>
    </row>
    <row r="6" spans="1:6" ht="18" customHeight="1" x14ac:dyDescent="0.35">
      <c r="A6" s="3" t="s">
        <v>36</v>
      </c>
      <c r="B6" s="3" t="s">
        <v>30</v>
      </c>
      <c r="C6" s="2">
        <v>750</v>
      </c>
      <c r="D6" s="4">
        <v>35</v>
      </c>
      <c r="E6" s="2">
        <v>38</v>
      </c>
      <c r="F6" s="4">
        <v>21.8</v>
      </c>
    </row>
    <row r="7" spans="1:6" ht="18" customHeight="1" x14ac:dyDescent="0.35">
      <c r="A7" s="3" t="s">
        <v>37</v>
      </c>
      <c r="B7" s="3" t="s">
        <v>32</v>
      </c>
      <c r="C7" s="2">
        <v>820</v>
      </c>
      <c r="D7" s="4">
        <v>29.8</v>
      </c>
      <c r="E7" s="2">
        <v>44</v>
      </c>
      <c r="F7" s="4">
        <v>16.2</v>
      </c>
    </row>
    <row r="8" spans="1:6" ht="18" customHeight="1" x14ac:dyDescent="0.35">
      <c r="A8" s="3" t="s">
        <v>38</v>
      </c>
      <c r="B8" s="3" t="s">
        <v>34</v>
      </c>
      <c r="C8" s="2">
        <v>940</v>
      </c>
      <c r="D8" s="4">
        <v>30.5</v>
      </c>
      <c r="E8" s="2">
        <v>32</v>
      </c>
      <c r="F8" s="4">
        <v>12.8</v>
      </c>
    </row>
    <row r="9" spans="1:6" ht="18" customHeight="1" x14ac:dyDescent="0.35">
      <c r="A9" s="3" t="s">
        <v>39</v>
      </c>
      <c r="B9" s="3" t="s">
        <v>30</v>
      </c>
      <c r="C9" s="2">
        <v>980</v>
      </c>
      <c r="D9" s="4">
        <v>46.1</v>
      </c>
      <c r="E9" s="2">
        <v>50</v>
      </c>
      <c r="F9" s="4">
        <v>20.9</v>
      </c>
    </row>
    <row r="10" spans="1:6" ht="18" customHeight="1" x14ac:dyDescent="0.35">
      <c r="A10" s="3" t="s">
        <v>40</v>
      </c>
      <c r="B10" s="3" t="s">
        <v>32</v>
      </c>
      <c r="C10" s="2">
        <v>850</v>
      </c>
      <c r="D10" s="4">
        <v>31.2</v>
      </c>
      <c r="E10" s="2">
        <v>46</v>
      </c>
      <c r="F10" s="4">
        <v>16</v>
      </c>
    </row>
    <row r="11" spans="1:6" ht="18" customHeight="1" x14ac:dyDescent="0.35">
      <c r="A11" s="3" t="s">
        <v>41</v>
      </c>
      <c r="B11" s="3" t="s">
        <v>30</v>
      </c>
      <c r="C11" s="2">
        <v>700</v>
      </c>
      <c r="D11" s="4">
        <v>33.5</v>
      </c>
      <c r="E11" s="2">
        <v>36</v>
      </c>
      <c r="F11" s="4">
        <v>21.5</v>
      </c>
    </row>
    <row r="12" spans="1:6" ht="18" customHeight="1" x14ac:dyDescent="0.35">
      <c r="A12" s="3" t="s">
        <v>42</v>
      </c>
      <c r="B12" s="3" t="s">
        <v>34</v>
      </c>
      <c r="C12" s="2">
        <v>1020</v>
      </c>
      <c r="D12" s="4">
        <v>34.799999999999997</v>
      </c>
      <c r="E12" s="2">
        <v>30</v>
      </c>
      <c r="F12" s="4">
        <v>13.2</v>
      </c>
    </row>
    <row r="13" spans="1:6" ht="18" customHeight="1" x14ac:dyDescent="0.35">
      <c r="A13" s="3" t="s">
        <v>43</v>
      </c>
      <c r="B13" s="3" t="s">
        <v>32</v>
      </c>
      <c r="C13" s="2">
        <v>890</v>
      </c>
      <c r="D13" s="4">
        <v>33.4</v>
      </c>
      <c r="E13" s="2">
        <v>47</v>
      </c>
      <c r="F13" s="4">
        <v>16.5</v>
      </c>
    </row>
    <row r="14" spans="1:6" ht="18" customHeight="1" x14ac:dyDescent="0.35">
      <c r="A14" s="3" t="s">
        <v>44</v>
      </c>
      <c r="B14" s="3" t="s">
        <v>30</v>
      </c>
      <c r="C14" s="2">
        <v>920</v>
      </c>
      <c r="D14" s="4">
        <v>44</v>
      </c>
      <c r="E14" s="2">
        <v>43</v>
      </c>
      <c r="F14" s="4">
        <v>21.1</v>
      </c>
    </row>
    <row r="15" spans="1:6" ht="18" customHeight="1" x14ac:dyDescent="0.35">
      <c r="A15" s="3" t="s">
        <v>45</v>
      </c>
      <c r="B15" s="3" t="s">
        <v>34</v>
      </c>
      <c r="C15" s="2">
        <v>800</v>
      </c>
      <c r="D15" s="4">
        <v>25.2</v>
      </c>
      <c r="E15" s="2">
        <v>34</v>
      </c>
      <c r="F15" s="4">
        <v>11.9</v>
      </c>
    </row>
    <row r="16" spans="1:6" ht="18" customHeight="1" x14ac:dyDescent="0.35">
      <c r="A16" s="3" t="s">
        <v>46</v>
      </c>
      <c r="B16" s="3" t="s">
        <v>32</v>
      </c>
      <c r="C16" s="2">
        <v>960</v>
      </c>
      <c r="D16" s="4">
        <v>35.799999999999997</v>
      </c>
      <c r="E16" s="2">
        <v>49</v>
      </c>
      <c r="F16" s="4">
        <v>15.7</v>
      </c>
    </row>
  </sheetData>
  <conditionalFormatting sqref="F2:F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tabSelected="1" zoomScale="85" zoomScaleNormal="85" workbookViewId="0">
      <pane ySplit="1" topLeftCell="A2" activePane="bottomLeft" state="frozen"/>
      <selection pane="bottomLeft" activeCell="Q10" sqref="Q10"/>
    </sheetView>
  </sheetViews>
  <sheetFormatPr defaultRowHeight="14.5" x14ac:dyDescent="0.35"/>
  <cols>
    <col min="1" max="1" width="10" customWidth="1"/>
    <col min="2" max="2" width="12" customWidth="1"/>
    <col min="3" max="3" width="10" customWidth="1"/>
    <col min="4" max="4" width="12" customWidth="1"/>
    <col min="5" max="5" width="10" customWidth="1"/>
    <col min="6" max="6" width="18" customWidth="1"/>
    <col min="7" max="7" width="14" customWidth="1"/>
    <col min="9" max="9" width="6.81640625" bestFit="1" customWidth="1"/>
    <col min="10" max="10" width="10" bestFit="1" customWidth="1"/>
    <col min="11" max="11" width="9.1796875" bestFit="1" customWidth="1"/>
    <col min="12" max="12" width="10.36328125" bestFit="1" customWidth="1"/>
    <col min="13" max="13" width="6.26953125" bestFit="1" customWidth="1"/>
    <col min="14" max="14" width="15.90625" bestFit="1" customWidth="1"/>
    <col min="15" max="15" width="11" bestFit="1" customWidth="1"/>
  </cols>
  <sheetData>
    <row r="1" spans="1:15" ht="20" customHeight="1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</row>
    <row r="2" spans="1:15" ht="18" customHeight="1" x14ac:dyDescent="0.35">
      <c r="A2" s="3" t="s">
        <v>54</v>
      </c>
      <c r="B2" s="2">
        <v>85</v>
      </c>
      <c r="C2" s="2">
        <v>32</v>
      </c>
      <c r="D2" s="2">
        <v>400</v>
      </c>
      <c r="E2" s="2">
        <v>120</v>
      </c>
      <c r="F2" s="3" t="b">
        <f>F18=AND(B2&gt;50,D2&gt;390)</f>
        <v>0</v>
      </c>
      <c r="G2" s="3" t="b">
        <f>OR(C2&gt;60,E2&gt;1000)</f>
        <v>0</v>
      </c>
      <c r="I2" s="3" t="s">
        <v>54</v>
      </c>
      <c r="J2" s="2">
        <v>85</v>
      </c>
      <c r="K2" s="2">
        <v>32</v>
      </c>
      <c r="L2" s="2">
        <v>400</v>
      </c>
      <c r="M2" s="2">
        <v>120</v>
      </c>
      <c r="N2" s="3" t="b">
        <f>AND(B2&gt;50,D2&gt;390)</f>
        <v>1</v>
      </c>
      <c r="O2" s="3" t="b">
        <f>OR(C2&gt;60,E2&gt;1000)</f>
        <v>0</v>
      </c>
    </row>
    <row r="3" spans="1:15" ht="18" customHeight="1" x14ac:dyDescent="0.35">
      <c r="A3" s="3" t="s">
        <v>55</v>
      </c>
      <c r="B3" s="2">
        <v>12</v>
      </c>
      <c r="C3" s="2">
        <v>28</v>
      </c>
      <c r="D3" s="2">
        <v>360</v>
      </c>
      <c r="E3" s="2">
        <v>450</v>
      </c>
      <c r="F3" s="3" t="b">
        <f t="shared" ref="F3:F16" si="0">AND(B3&gt;50,D3&gt;390)</f>
        <v>0</v>
      </c>
      <c r="G3" s="3" t="b">
        <f t="shared" ref="G3:G16" si="1">OR(C3&gt;60,E3&gt;1000)</f>
        <v>0</v>
      </c>
      <c r="I3" s="3" t="s">
        <v>55</v>
      </c>
      <c r="J3" s="2">
        <v>12</v>
      </c>
      <c r="K3" s="2">
        <v>28</v>
      </c>
      <c r="L3" s="2">
        <v>360</v>
      </c>
      <c r="M3" s="2">
        <v>450</v>
      </c>
      <c r="N3" s="3" t="b">
        <f t="shared" ref="N3:N16" si="2">AND(B3&gt;50,D3&gt;390)</f>
        <v>0</v>
      </c>
      <c r="O3" s="3" t="b">
        <f t="shared" ref="O3:O16" si="3">OR(C3&gt;60,E3&gt;1000)</f>
        <v>0</v>
      </c>
    </row>
    <row r="4" spans="1:15" ht="18" customHeight="1" x14ac:dyDescent="0.35">
      <c r="A4" s="3" t="s">
        <v>56</v>
      </c>
      <c r="B4" s="2">
        <v>92</v>
      </c>
      <c r="C4" s="2">
        <v>58</v>
      </c>
      <c r="D4" s="2">
        <v>410</v>
      </c>
      <c r="E4" s="2">
        <v>800</v>
      </c>
      <c r="F4" s="3" t="b">
        <f t="shared" si="0"/>
        <v>1</v>
      </c>
      <c r="G4" s="3" t="b">
        <f t="shared" si="1"/>
        <v>0</v>
      </c>
      <c r="I4" s="3" t="s">
        <v>56</v>
      </c>
      <c r="J4" s="2">
        <v>92</v>
      </c>
      <c r="K4" s="2">
        <v>58</v>
      </c>
      <c r="L4" s="2">
        <v>410</v>
      </c>
      <c r="M4" s="2">
        <v>800</v>
      </c>
      <c r="N4" s="3" t="b">
        <f t="shared" si="2"/>
        <v>1</v>
      </c>
      <c r="O4" s="3" t="b">
        <f t="shared" si="3"/>
        <v>0</v>
      </c>
    </row>
    <row r="5" spans="1:15" ht="18" customHeight="1" x14ac:dyDescent="0.35">
      <c r="A5" s="3" t="s">
        <v>57</v>
      </c>
      <c r="B5" s="2">
        <v>45</v>
      </c>
      <c r="C5" s="2">
        <v>35</v>
      </c>
      <c r="D5" s="2">
        <v>390</v>
      </c>
      <c r="E5" s="2">
        <v>210</v>
      </c>
      <c r="F5" s="3" t="b">
        <f t="shared" si="0"/>
        <v>0</v>
      </c>
      <c r="G5" s="3" t="b">
        <f t="shared" si="1"/>
        <v>0</v>
      </c>
      <c r="I5" s="3" t="s">
        <v>57</v>
      </c>
      <c r="J5" s="2">
        <v>45</v>
      </c>
      <c r="K5" s="2">
        <v>35</v>
      </c>
      <c r="L5" s="2">
        <v>390</v>
      </c>
      <c r="M5" s="2">
        <v>210</v>
      </c>
      <c r="N5" s="3" t="b">
        <f t="shared" si="2"/>
        <v>0</v>
      </c>
      <c r="O5" s="3" t="b">
        <f t="shared" si="3"/>
        <v>0</v>
      </c>
    </row>
    <row r="6" spans="1:15" ht="18" customHeight="1" x14ac:dyDescent="0.35">
      <c r="A6" s="3" t="s">
        <v>58</v>
      </c>
      <c r="B6" s="2">
        <v>78</v>
      </c>
      <c r="C6" s="2">
        <v>62</v>
      </c>
      <c r="D6" s="2">
        <v>405</v>
      </c>
      <c r="E6" s="2">
        <v>950</v>
      </c>
      <c r="F6" s="3" t="b">
        <f t="shared" si="0"/>
        <v>1</v>
      </c>
      <c r="G6" s="3" t="b">
        <f t="shared" si="1"/>
        <v>1</v>
      </c>
      <c r="I6" s="3" t="s">
        <v>58</v>
      </c>
      <c r="J6" s="2">
        <v>78</v>
      </c>
      <c r="K6" s="2">
        <v>62</v>
      </c>
      <c r="L6" s="2">
        <v>405</v>
      </c>
      <c r="M6" s="2">
        <v>950</v>
      </c>
      <c r="N6" s="3" t="b">
        <f t="shared" si="2"/>
        <v>1</v>
      </c>
      <c r="O6" s="3" t="b">
        <f t="shared" si="3"/>
        <v>1</v>
      </c>
    </row>
    <row r="7" spans="1:15" ht="18" customHeight="1" x14ac:dyDescent="0.35">
      <c r="A7" s="3" t="s">
        <v>59</v>
      </c>
      <c r="B7" s="2">
        <v>5</v>
      </c>
      <c r="C7" s="2">
        <v>22</v>
      </c>
      <c r="D7" s="2">
        <v>340</v>
      </c>
      <c r="E7" s="2">
        <v>1050</v>
      </c>
      <c r="F7" s="3" t="b">
        <f t="shared" si="0"/>
        <v>0</v>
      </c>
      <c r="G7" s="3" t="b">
        <f t="shared" si="1"/>
        <v>1</v>
      </c>
      <c r="I7" s="3" t="s">
        <v>59</v>
      </c>
      <c r="J7" s="2">
        <v>5</v>
      </c>
      <c r="K7" s="2">
        <v>22</v>
      </c>
      <c r="L7" s="2">
        <v>340</v>
      </c>
      <c r="M7" s="2">
        <v>1050</v>
      </c>
      <c r="N7" s="3" t="b">
        <f t="shared" si="2"/>
        <v>0</v>
      </c>
      <c r="O7" s="3" t="b">
        <f t="shared" si="3"/>
        <v>1</v>
      </c>
    </row>
    <row r="8" spans="1:15" ht="18" customHeight="1" x14ac:dyDescent="0.35">
      <c r="A8" s="3" t="s">
        <v>60</v>
      </c>
      <c r="B8" s="2">
        <v>60</v>
      </c>
      <c r="C8" s="2">
        <v>40</v>
      </c>
      <c r="D8" s="2">
        <v>395</v>
      </c>
      <c r="E8" s="2">
        <v>300</v>
      </c>
      <c r="F8" s="3" t="b">
        <f t="shared" si="0"/>
        <v>1</v>
      </c>
      <c r="G8" s="3" t="b">
        <f t="shared" si="1"/>
        <v>0</v>
      </c>
      <c r="I8" s="3" t="s">
        <v>60</v>
      </c>
      <c r="J8" s="2">
        <v>60</v>
      </c>
      <c r="K8" s="2">
        <v>40</v>
      </c>
      <c r="L8" s="2">
        <v>395</v>
      </c>
      <c r="M8" s="2">
        <v>300</v>
      </c>
      <c r="N8" s="3" t="b">
        <f t="shared" si="2"/>
        <v>1</v>
      </c>
      <c r="O8" s="3" t="b">
        <f t="shared" si="3"/>
        <v>0</v>
      </c>
    </row>
    <row r="9" spans="1:15" ht="18" customHeight="1" x14ac:dyDescent="0.35">
      <c r="A9" s="3" t="s">
        <v>61</v>
      </c>
      <c r="B9" s="2">
        <v>98</v>
      </c>
      <c r="C9" s="2">
        <v>31</v>
      </c>
      <c r="D9" s="2">
        <v>415</v>
      </c>
      <c r="E9" s="2">
        <v>50</v>
      </c>
      <c r="F9" s="3" t="b">
        <f t="shared" si="0"/>
        <v>1</v>
      </c>
      <c r="G9" s="3" t="b">
        <f t="shared" si="1"/>
        <v>0</v>
      </c>
      <c r="I9" s="3" t="s">
        <v>61</v>
      </c>
      <c r="J9" s="2">
        <v>98</v>
      </c>
      <c r="K9" s="2">
        <v>31</v>
      </c>
      <c r="L9" s="2">
        <v>415</v>
      </c>
      <c r="M9" s="2">
        <v>50</v>
      </c>
      <c r="N9" s="3" t="b">
        <f t="shared" si="2"/>
        <v>1</v>
      </c>
      <c r="O9" s="3" t="b">
        <f t="shared" si="3"/>
        <v>0</v>
      </c>
    </row>
    <row r="10" spans="1:15" ht="18" customHeight="1" x14ac:dyDescent="0.35">
      <c r="A10" s="3" t="s">
        <v>62</v>
      </c>
      <c r="B10" s="2">
        <v>55</v>
      </c>
      <c r="C10" s="2">
        <v>65</v>
      </c>
      <c r="D10" s="2">
        <v>390</v>
      </c>
      <c r="E10" s="2">
        <v>1100</v>
      </c>
      <c r="F10" s="3" t="b">
        <f t="shared" si="0"/>
        <v>0</v>
      </c>
      <c r="G10" s="3" t="b">
        <f t="shared" si="1"/>
        <v>1</v>
      </c>
      <c r="I10" s="3" t="s">
        <v>62</v>
      </c>
      <c r="J10" s="2">
        <v>55</v>
      </c>
      <c r="K10" s="2">
        <v>65</v>
      </c>
      <c r="L10" s="2">
        <v>390</v>
      </c>
      <c r="M10" s="2">
        <v>1100</v>
      </c>
      <c r="N10" s="3" t="b">
        <f t="shared" si="2"/>
        <v>0</v>
      </c>
      <c r="O10" s="3" t="b">
        <f t="shared" si="3"/>
        <v>1</v>
      </c>
    </row>
    <row r="11" spans="1:15" ht="18" customHeight="1" x14ac:dyDescent="0.35">
      <c r="A11" s="3" t="s">
        <v>63</v>
      </c>
      <c r="B11" s="2">
        <v>25</v>
      </c>
      <c r="C11" s="2">
        <v>30</v>
      </c>
      <c r="D11" s="2">
        <v>370</v>
      </c>
      <c r="E11" s="2">
        <v>600</v>
      </c>
      <c r="F11" s="3" t="b">
        <f t="shared" si="0"/>
        <v>0</v>
      </c>
      <c r="G11" s="3" t="b">
        <f t="shared" si="1"/>
        <v>0</v>
      </c>
      <c r="I11" s="3" t="s">
        <v>63</v>
      </c>
      <c r="J11" s="2">
        <v>25</v>
      </c>
      <c r="K11" s="2">
        <v>30</v>
      </c>
      <c r="L11" s="2">
        <v>370</v>
      </c>
      <c r="M11" s="2">
        <v>600</v>
      </c>
      <c r="N11" s="3" t="b">
        <f t="shared" si="2"/>
        <v>0</v>
      </c>
      <c r="O11" s="3" t="b">
        <f t="shared" si="3"/>
        <v>0</v>
      </c>
    </row>
    <row r="12" spans="1:15" ht="18" customHeight="1" x14ac:dyDescent="0.35">
      <c r="A12" s="3" t="s">
        <v>64</v>
      </c>
      <c r="B12" s="2">
        <v>88</v>
      </c>
      <c r="C12" s="2">
        <v>34</v>
      </c>
      <c r="D12" s="2">
        <v>402</v>
      </c>
      <c r="E12" s="2">
        <v>150</v>
      </c>
      <c r="F12" s="3" t="b">
        <f t="shared" si="0"/>
        <v>1</v>
      </c>
      <c r="G12" s="3" t="b">
        <f t="shared" si="1"/>
        <v>0</v>
      </c>
      <c r="I12" s="3" t="s">
        <v>64</v>
      </c>
      <c r="J12" s="2">
        <v>88</v>
      </c>
      <c r="K12" s="2">
        <v>34</v>
      </c>
      <c r="L12" s="2">
        <v>402</v>
      </c>
      <c r="M12" s="2">
        <v>150</v>
      </c>
      <c r="N12" s="3" t="b">
        <f t="shared" si="2"/>
        <v>1</v>
      </c>
      <c r="O12" s="3" t="b">
        <f t="shared" si="3"/>
        <v>0</v>
      </c>
    </row>
    <row r="13" spans="1:15" ht="18" customHeight="1" x14ac:dyDescent="0.35">
      <c r="A13" s="3" t="s">
        <v>65</v>
      </c>
      <c r="B13" s="2">
        <v>15</v>
      </c>
      <c r="C13" s="2">
        <v>29</v>
      </c>
      <c r="D13" s="2">
        <v>365</v>
      </c>
      <c r="E13" s="2">
        <v>500</v>
      </c>
      <c r="F13" s="3" t="b">
        <f t="shared" si="0"/>
        <v>0</v>
      </c>
      <c r="G13" s="3" t="b">
        <f t="shared" si="1"/>
        <v>0</v>
      </c>
      <c r="I13" s="3" t="s">
        <v>65</v>
      </c>
      <c r="J13" s="2">
        <v>15</v>
      </c>
      <c r="K13" s="2">
        <v>29</v>
      </c>
      <c r="L13" s="2">
        <v>365</v>
      </c>
      <c r="M13" s="2">
        <v>500</v>
      </c>
      <c r="N13" s="3" t="b">
        <f t="shared" si="2"/>
        <v>0</v>
      </c>
      <c r="O13" s="3" t="b">
        <f t="shared" si="3"/>
        <v>0</v>
      </c>
    </row>
    <row r="14" spans="1:15" ht="18" customHeight="1" x14ac:dyDescent="0.35">
      <c r="A14" s="3" t="s">
        <v>66</v>
      </c>
      <c r="B14" s="2">
        <v>70</v>
      </c>
      <c r="C14" s="2">
        <v>59</v>
      </c>
      <c r="D14" s="2">
        <v>398</v>
      </c>
      <c r="E14" s="2">
        <v>850</v>
      </c>
      <c r="F14" s="3" t="b">
        <f t="shared" si="0"/>
        <v>1</v>
      </c>
      <c r="G14" s="3" t="b">
        <f t="shared" si="1"/>
        <v>0</v>
      </c>
      <c r="I14" s="3" t="s">
        <v>66</v>
      </c>
      <c r="J14" s="2">
        <v>70</v>
      </c>
      <c r="K14" s="2">
        <v>59</v>
      </c>
      <c r="L14" s="2">
        <v>398</v>
      </c>
      <c r="M14" s="2">
        <v>850</v>
      </c>
      <c r="N14" s="3" t="b">
        <f t="shared" si="2"/>
        <v>1</v>
      </c>
      <c r="O14" s="3" t="b">
        <f t="shared" si="3"/>
        <v>0</v>
      </c>
    </row>
    <row r="15" spans="1:15" ht="18" customHeight="1" x14ac:dyDescent="0.35">
      <c r="A15" s="3" t="s">
        <v>67</v>
      </c>
      <c r="B15" s="2">
        <v>40</v>
      </c>
      <c r="C15" s="2">
        <v>33</v>
      </c>
      <c r="D15" s="2">
        <v>385</v>
      </c>
      <c r="E15" s="2">
        <v>400</v>
      </c>
      <c r="F15" s="3" t="b">
        <f t="shared" si="0"/>
        <v>0</v>
      </c>
      <c r="G15" s="3" t="b">
        <f t="shared" si="1"/>
        <v>0</v>
      </c>
      <c r="I15" s="3" t="s">
        <v>67</v>
      </c>
      <c r="J15" s="2">
        <v>40</v>
      </c>
      <c r="K15" s="2">
        <v>33</v>
      </c>
      <c r="L15" s="2">
        <v>385</v>
      </c>
      <c r="M15" s="2">
        <v>400</v>
      </c>
      <c r="N15" s="3" t="b">
        <f t="shared" si="2"/>
        <v>0</v>
      </c>
      <c r="O15" s="3" t="b">
        <f t="shared" si="3"/>
        <v>0</v>
      </c>
    </row>
    <row r="16" spans="1:15" ht="18" customHeight="1" x14ac:dyDescent="0.35">
      <c r="A16" s="3" t="s">
        <v>68</v>
      </c>
      <c r="B16" s="2">
        <v>95</v>
      </c>
      <c r="C16" s="2">
        <v>32</v>
      </c>
      <c r="D16" s="2">
        <v>412</v>
      </c>
      <c r="E16" s="2">
        <v>20</v>
      </c>
      <c r="F16" s="3" t="b">
        <f t="shared" si="0"/>
        <v>1</v>
      </c>
      <c r="G16" s="3" t="b">
        <f t="shared" si="1"/>
        <v>0</v>
      </c>
      <c r="I16" s="3" t="s">
        <v>68</v>
      </c>
      <c r="J16" s="2">
        <v>95</v>
      </c>
      <c r="K16" s="2">
        <v>32</v>
      </c>
      <c r="L16" s="2">
        <v>412</v>
      </c>
      <c r="M16" s="2">
        <v>20</v>
      </c>
      <c r="N16" s="3" t="b">
        <f t="shared" si="2"/>
        <v>1</v>
      </c>
      <c r="O16" s="3" t="b">
        <f t="shared" si="3"/>
        <v>0</v>
      </c>
    </row>
    <row r="17" spans="14:16" x14ac:dyDescent="0.35">
      <c r="N17" t="s">
        <v>73</v>
      </c>
      <c r="P17" t="s">
        <v>74</v>
      </c>
    </row>
  </sheetData>
  <conditionalFormatting sqref="C2:C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{E8B1AF0D-8057-48ED-A5A8-762F4DB5197C}</x14:id>
        </ext>
      </extLst>
    </cfRule>
  </conditionalFormatting>
  <conditionalFormatting sqref="F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6">
    <cfRule type="containsText" dxfId="3" priority="16" operator="containsText" text="TRUE">
      <formula>NOT(ISERROR(SEARCH("TRUE",G2)))</formula>
    </cfRule>
  </conditionalFormatting>
  <conditionalFormatting sqref="N2:N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{E6215F48-15A6-43E9-BE98-795AAAD03176}</x14:id>
        </ext>
      </extLst>
    </cfRule>
  </conditionalFormatting>
  <conditionalFormatting sqref="N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6">
    <cfRule type="containsText" dxfId="2" priority="6" operator="containsText" text="TRUE">
      <formula>NOT(ISERROR(SEARCH("TRUE",O2)))</formula>
    </cfRule>
  </conditionalFormatting>
  <conditionalFormatting sqref="K2:K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B1AF0D-8057-48ED-A5A8-762F4DB519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F2:F16</xm:sqref>
        </x14:conditionalFormatting>
        <x14:conditionalFormatting xmlns:xm="http://schemas.microsoft.com/office/excel/2006/main">
          <x14:cfRule type="dataBar" id="{E6215F48-15A6-43E9-BE98-795AAAD031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N2:N16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Drawing Review</vt:lpstr>
      <vt:lpstr>Solar Arrays</vt:lpstr>
      <vt:lpstr>Battery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Irfan</cp:lastModifiedBy>
  <dcterms:created xsi:type="dcterms:W3CDTF">2026-04-14T07:11:17Z</dcterms:created>
  <dcterms:modified xsi:type="dcterms:W3CDTF">2026-05-07T18:10:27Z</dcterms:modified>
</cp:coreProperties>
</file>