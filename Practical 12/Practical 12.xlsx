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bdu\OneDrive\Desktop\"/>
    </mc:Choice>
  </mc:AlternateContent>
  <xr:revisionPtr revIDLastSave="0" documentId="8_{DEE6F5C7-064D-4F18-BC2B-0D9DF3AFCC1D}" xr6:coauthVersionLast="47" xr6:coauthVersionMax="47" xr10:uidLastSave="{00000000-0000-0000-0000-000000000000}"/>
  <bookViews>
    <workbookView xWindow="-110" yWindow="-110" windowWidth="19420" windowHeight="10420" xr2:uid="{B7591E0E-EBDC-41DA-A97D-32D99A5C3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 a="1"/>
  <c r="E26" i="1" s="1"/>
  <c r="F26" i="1" s="1"/>
  <c r="G26" i="1" s="1"/>
  <c r="E21" i="1" l="1"/>
  <c r="F21" i="1" s="1"/>
  <c r="G21" i="1" s="1"/>
  <c r="E22" i="1"/>
  <c r="F22" i="1" s="1"/>
  <c r="G22" i="1" s="1"/>
  <c r="E24" i="1"/>
  <c r="F24" i="1" s="1"/>
  <c r="G24" i="1" s="1"/>
  <c r="E25" i="1"/>
  <c r="F25" i="1" s="1"/>
  <c r="G25" i="1" s="1"/>
  <c r="B12" i="1"/>
  <c r="C12" i="1" s="1"/>
  <c r="D12" i="1" s="1"/>
  <c r="B13" i="1"/>
  <c r="C13" i="1" s="1"/>
  <c r="D13" i="1" s="1"/>
  <c r="B14" i="1"/>
  <c r="C14" i="1" s="1"/>
  <c r="D14" i="1" s="1"/>
  <c r="B15" i="1"/>
  <c r="C15" i="1" s="1"/>
  <c r="D15" i="1" s="1"/>
  <c r="B16" i="1"/>
  <c r="C16" i="1" s="1"/>
  <c r="D16" i="1" s="1"/>
  <c r="B17" i="1"/>
  <c r="C17" i="1" s="1"/>
  <c r="D17" i="1" s="1"/>
  <c r="B18" i="1"/>
  <c r="C18" i="1" s="1"/>
  <c r="D18" i="1" s="1"/>
  <c r="B19" i="1"/>
  <c r="C19" i="1" s="1"/>
  <c r="D19" i="1" s="1"/>
  <c r="B20" i="1"/>
  <c r="C20" i="1" s="1"/>
  <c r="D20" i="1" s="1"/>
  <c r="B21" i="1"/>
  <c r="C21" i="1" s="1"/>
  <c r="D21" i="1" s="1"/>
  <c r="H21" i="1" s="1"/>
  <c r="I21" i="1" s="1"/>
  <c r="B22" i="1"/>
  <c r="C22" i="1" s="1"/>
  <c r="D22" i="1" s="1"/>
  <c r="H22" i="1" s="1"/>
  <c r="I22" i="1" s="1"/>
  <c r="B23" i="1"/>
  <c r="C23" i="1" s="1"/>
  <c r="D23" i="1" s="1"/>
  <c r="H23" i="1" s="1"/>
  <c r="I23" i="1" s="1"/>
  <c r="B24" i="1"/>
  <c r="C24" i="1" s="1"/>
  <c r="D24" i="1" s="1"/>
  <c r="H24" i="1" s="1"/>
  <c r="I24" i="1" s="1"/>
  <c r="B25" i="1"/>
  <c r="C25" i="1" s="1"/>
  <c r="D25" i="1" s="1"/>
  <c r="B26" i="1"/>
  <c r="C26" i="1" s="1"/>
  <c r="D26" i="1" s="1"/>
  <c r="H26" i="1" s="1"/>
  <c r="I26" i="1" s="1"/>
  <c r="A11" i="1"/>
  <c r="E12" i="1"/>
  <c r="F12" i="1" s="1"/>
  <c r="G12" i="1" s="1"/>
  <c r="E13" i="1"/>
  <c r="F13" i="1" s="1"/>
  <c r="G13" i="1" s="1"/>
  <c r="E14" i="1"/>
  <c r="F14" i="1" s="1"/>
  <c r="G14" i="1" s="1"/>
  <c r="E15" i="1"/>
  <c r="F15" i="1" s="1"/>
  <c r="G15" i="1" s="1"/>
  <c r="E16" i="1"/>
  <c r="F16" i="1" s="1"/>
  <c r="G16" i="1" s="1"/>
  <c r="E17" i="1"/>
  <c r="F17" i="1" s="1"/>
  <c r="G17" i="1" s="1"/>
  <c r="E18" i="1"/>
  <c r="F18" i="1" s="1"/>
  <c r="G18" i="1" s="1"/>
  <c r="E19" i="1"/>
  <c r="F19" i="1" s="1"/>
  <c r="G19" i="1" s="1"/>
  <c r="E20" i="1"/>
  <c r="F20" i="1" s="1"/>
  <c r="G20" i="1" s="1"/>
  <c r="E23" i="1"/>
  <c r="F23" i="1" s="1"/>
  <c r="G23" i="1" s="1"/>
  <c r="H19" i="1" l="1"/>
  <c r="I19" i="1" s="1"/>
  <c r="H18" i="1"/>
  <c r="I18" i="1" s="1"/>
  <c r="H14" i="1"/>
  <c r="I14" i="1" s="1"/>
  <c r="B11" i="1"/>
  <c r="C11" i="1" s="1"/>
  <c r="D11" i="1" s="1"/>
  <c r="E11" i="1"/>
  <c r="F11" i="1" s="1"/>
  <c r="G11" i="1" s="1"/>
  <c r="H15" i="1"/>
  <c r="I15" i="1" s="1"/>
  <c r="H25" i="1"/>
  <c r="I25" i="1" s="1"/>
  <c r="H17" i="1"/>
  <c r="I17" i="1" s="1"/>
  <c r="H13" i="1"/>
  <c r="I13" i="1" s="1"/>
  <c r="H20" i="1"/>
  <c r="I20" i="1" s="1"/>
  <c r="H16" i="1"/>
  <c r="I16" i="1" s="1"/>
  <c r="H12" i="1"/>
  <c r="I12" i="1" s="1"/>
  <c r="H11" i="1" l="1"/>
  <c r="I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<sst xmlns="http://schemas.openxmlformats.org/spreadsheetml/2006/main" count="17" uniqueCount="17">
  <si>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Constants</t>
  </si>
  <si>
    <t>R</t>
  </si>
  <si>
    <t>cp</t>
  </si>
  <si>
    <t>P1</t>
  </si>
  <si>
    <t>P2</t>
  </si>
  <si>
    <t>V1</t>
  </si>
  <si>
    <t>V2</t>
  </si>
  <si>
    <t>A1</t>
  </si>
  <si>
    <t>T1(deg C)</t>
  </si>
  <si>
    <t>T1(K)</t>
  </si>
  <si>
    <t>v1(m3/kg)</t>
  </si>
  <si>
    <t>mass flow rate (kg/s)</t>
  </si>
  <si>
    <t>T2(in deg C)</t>
  </si>
  <si>
    <t>T2(in K)</t>
  </si>
  <si>
    <t>v2(m3/kg)</t>
  </si>
  <si>
    <t>A2(m2)</t>
  </si>
  <si>
    <t>A2(cm2)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</si>
</sst>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Inlet Tempurature (C) Versus</a:t>
            </a:r>
            <a:r>
              <a:rPr lang="en-US" baseline="0"/>
              <a:t> </a:t>
            </a:r>
            <a:r>
              <a:rPr lang="en-US"/>
              <a:t>Mass flow rate (kg/s)</a:t>
            </a:r>
          </a:p>
        </c:rich>
      </c:tx>
      <c:layout>
        <c:manualLayout>
          <c:xMode val="edge"/>
          <c:yMode val="edge"/>
          <c:x val="0.1599722222222222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Sheet1!$D$10</c:f>
              <c:strCache>
                <c:ptCount val="1"/>
                <c:pt idx="0">
                  <c:v>mass flow rate (kg/s)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Sheet1!$A$11:$A$26</c:f>
              <c:numCache>
                <c:formatCode>General</c:formatCode>
                <c:ptCount val="16"/>
                <c:pt idx="0">
                  <c:v>150</c:v>
                </c:pt>
                <c:pt idx="1">
                  <c:v>160</c:v>
                </c:pt>
                <c:pt idx="2">
                  <c:v>170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  <c:pt idx="11">
                  <c:v>260</c:v>
                </c:pt>
                <c:pt idx="12">
                  <c:v>270</c:v>
                </c:pt>
                <c:pt idx="13">
                  <c:v>280</c:v>
                </c:pt>
                <c:pt idx="14">
                  <c:v>290</c:v>
                </c:pt>
                <c:pt idx="15">
                  <c:v>300</c:v>
                </c:pt>
              </c:numCache>
            </c:numRef>
          </c:cat>
          <c:val>
            <c:numRef>
              <c:f>Sheet1!$D$11:$D$26</c:f>
              <c:numCache>
                <c:formatCode>General</c:formatCode>
                <c:ptCount val="16"/>
                <c:pt idx="0">
                  <c:v>0.59307583957298537</c:v>
                </c:pt>
                <c:pt idx="1">
                  <c:v>0.57937893796621898</c:v>
                </c:pt>
                <c:pt idx="2">
                  <c:v>0.56630040663515313</c:v>
                </c:pt>
                <c:pt idx="3">
                  <c:v>0.55379929390590033</c:v>
                </c:pt>
                <c:pt idx="4">
                  <c:v>0.54183818604616163</c:v>
                </c:pt>
                <c:pt idx="5">
                  <c:v>0.53038283327562974</c:v>
                </c:pt>
                <c:pt idx="6">
                  <c:v>0.51940182223472642</c:v>
                </c:pt>
                <c:pt idx="7">
                  <c:v>0.5088662883151579</c:v>
                </c:pt>
                <c:pt idx="8">
                  <c:v>0.49874966230491613</c:v>
                </c:pt>
                <c:pt idx="9">
                  <c:v>0.48902744666544412</c:v>
                </c:pt>
                <c:pt idx="10">
                  <c:v>0.47967701747490021</c:v>
                </c:pt>
                <c:pt idx="11">
                  <c:v>0.47067744866674083</c:v>
                </c:pt>
                <c:pt idx="12">
                  <c:v>0.46200935568945273</c:v>
                </c:pt>
                <c:pt idx="13">
                  <c:v>0.45365475612906481</c:v>
                </c:pt>
                <c:pt idx="14">
                  <c:v>0.44559694518538689</c:v>
                </c:pt>
                <c:pt idx="15">
                  <c:v>0.43782038418738717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53-4703-95D7-880C6B950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684672"/>
        <c:axId val="1954674592"/>
      </c:lineChart>
      <c:catAx>
        <c:axId val="195468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Inlet Tempurature (C)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54674592"/>
        <c:crosses val="autoZero"/>
        <c:auto val="1"/>
        <c:lblAlgn val="ctr"/>
        <c:lblOffset val="100"/>
        <c:noMultiLvlLbl val="0"/>
      </c:catAx>
      <c:valAx>
        <c:axId val="19546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</a:t>
                </a:r>
                <a:r>
                  <a:rPr lang="en-US" baseline="0"/>
                  <a:t> Flowrate kg/s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5468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Inlet Temperature v/s Exit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Sheet1!$E$10</c:f>
              <c:strCache>
                <c:ptCount val="1"/>
                <c:pt idx="0">
                  <c:v>T2(in deg 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Sheet1!$A$11:$A$26</c:f>
              <c:numCache>
                <c:formatCode>General</c:formatCode>
                <c:ptCount val="16"/>
                <c:pt idx="0">
                  <c:v>150</c:v>
                </c:pt>
                <c:pt idx="1">
                  <c:v>160</c:v>
                </c:pt>
                <c:pt idx="2">
                  <c:v>170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  <c:pt idx="11">
                  <c:v>260</c:v>
                </c:pt>
                <c:pt idx="12">
                  <c:v>270</c:v>
                </c:pt>
                <c:pt idx="13">
                  <c:v>280</c:v>
                </c:pt>
                <c:pt idx="14">
                  <c:v>290</c:v>
                </c:pt>
                <c:pt idx="15">
                  <c:v>300</c:v>
                </c:pt>
              </c:numCache>
            </c:numRef>
          </c:cat>
          <c:val>
            <c:numRef>
              <c:f>Sheet1!$E$11:$E$26</c:f>
              <c:numCache>
                <c:formatCode>General</c:formatCode>
                <c:ptCount val="16"/>
                <c:pt idx="0">
                  <c:v>134.32835820895522</c:v>
                </c:pt>
                <c:pt idx="1">
                  <c:v>144.32835820895522</c:v>
                </c:pt>
                <c:pt idx="2">
                  <c:v>154.32835820895522</c:v>
                </c:pt>
                <c:pt idx="3">
                  <c:v>164.32835820895522</c:v>
                </c:pt>
                <c:pt idx="4">
                  <c:v>174.32835820895522</c:v>
                </c:pt>
                <c:pt idx="5">
                  <c:v>184.32835820895522</c:v>
                </c:pt>
                <c:pt idx="6">
                  <c:v>194.32835820895522</c:v>
                </c:pt>
                <c:pt idx="7">
                  <c:v>204.32835820895522</c:v>
                </c:pt>
                <c:pt idx="8">
                  <c:v>214.32835820895522</c:v>
                </c:pt>
                <c:pt idx="9">
                  <c:v>224.32835820895522</c:v>
                </c:pt>
                <c:pt idx="10">
                  <c:v>234.32835820895522</c:v>
                </c:pt>
                <c:pt idx="11">
                  <c:v>244.32835820895522</c:v>
                </c:pt>
                <c:pt idx="12">
                  <c:v>254.32835820895522</c:v>
                </c:pt>
                <c:pt idx="13">
                  <c:v>264.32835820895525</c:v>
                </c:pt>
                <c:pt idx="14">
                  <c:v>274.32835820895525</c:v>
                </c:pt>
                <c:pt idx="15">
                  <c:v>284.32835820895525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CE-46F6-87F0-CE81768D212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725296"/>
        <c:axId val="1965725776"/>
      </c:lineChart>
      <c:catAx>
        <c:axId val="196572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Inlet temperature (deg C)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65725776"/>
        <c:crosses val="autoZero"/>
        <c:auto val="1"/>
        <c:lblAlgn val="ctr"/>
        <c:lblOffset val="100"/>
        <c:noMultiLvlLbl val="0"/>
      </c:catAx>
      <c:valAx>
        <c:axId val="196572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Exit temperature T2(deg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6572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Inlet Temperature v/s Exit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Sheet1!$I$10</c:f>
              <c:strCache>
                <c:ptCount val="1"/>
                <c:pt idx="0">
                  <c:v>A2(cm2)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Sheet1!$A$11:$A$26</c:f>
              <c:numCache>
                <c:formatCode>General</c:formatCode>
                <c:ptCount val="16"/>
                <c:pt idx="0">
                  <c:v>150</c:v>
                </c:pt>
                <c:pt idx="1">
                  <c:v>160</c:v>
                </c:pt>
                <c:pt idx="2">
                  <c:v>170</c:v>
                </c:pt>
                <c:pt idx="3">
                  <c:v>180</c:v>
                </c:pt>
                <c:pt idx="4">
                  <c:v>190</c:v>
                </c:pt>
                <c:pt idx="5">
                  <c:v>200</c:v>
                </c:pt>
                <c:pt idx="6">
                  <c:v>210</c:v>
                </c:pt>
                <c:pt idx="7">
                  <c:v>220</c:v>
                </c:pt>
                <c:pt idx="8">
                  <c:v>230</c:v>
                </c:pt>
                <c:pt idx="9">
                  <c:v>240</c:v>
                </c:pt>
                <c:pt idx="10">
                  <c:v>250</c:v>
                </c:pt>
                <c:pt idx="11">
                  <c:v>260</c:v>
                </c:pt>
                <c:pt idx="12">
                  <c:v>270</c:v>
                </c:pt>
                <c:pt idx="13">
                  <c:v>280</c:v>
                </c:pt>
                <c:pt idx="14">
                  <c:v>290</c:v>
                </c:pt>
                <c:pt idx="15">
                  <c:v>300</c:v>
                </c:pt>
              </c:numCache>
            </c:numRef>
          </c:cat>
          <c:val>
            <c:numRef>
              <c:f>Sheet1!$I$11:$I$26</c:f>
              <c:numCache>
                <c:formatCode>General</c:formatCode>
                <c:ptCount val="16"/>
                <c:pt idx="0">
                  <c:v>38.518048057584423</c:v>
                </c:pt>
                <c:pt idx="1">
                  <c:v>38.552273275654066</c:v>
                </c:pt>
                <c:pt idx="2">
                  <c:v>38.584953337151717</c:v>
                </c:pt>
                <c:pt idx="3">
                  <c:v>38.616190570327177</c:v>
                </c:pt>
                <c:pt idx="4">
                  <c:v>38.646078462976689</c:v>
                </c:pt>
                <c:pt idx="5">
                  <c:v>38.674702596951825</c:v>
                </c:pt>
                <c:pt idx="6">
                  <c:v>38.702141466580152</c:v>
                </c:pt>
                <c:pt idx="7">
                  <c:v>38.728467197481152</c:v>
                </c:pt>
                <c:pt idx="8">
                  <c:v>38.75374617963859</c:v>
                </c:pt>
                <c:pt idx="9">
                  <c:v>38.778039626429255</c:v>
                </c:pt>
                <c:pt idx="10">
                  <c:v>38.801404069518554</c:v>
                </c:pt>
                <c:pt idx="11">
                  <c:v>38.823891798045423</c:v>
                </c:pt>
                <c:pt idx="12">
                  <c:v>38.845551249278465</c:v>
                </c:pt>
                <c:pt idx="13">
                  <c:v>38.866427356886462</c:v>
                </c:pt>
                <c:pt idx="14">
                  <c:v>38.886561862092734</c:v>
                </c:pt>
                <c:pt idx="15">
                  <c:v>38.90599359224818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E-4EA6-822C-6A8E8735C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656352"/>
        <c:axId val="1954669312"/>
      </c:lineChart>
      <c:catAx>
        <c:axId val="195465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Inlet Temperature (deg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54669312"/>
        <c:crosses val="autoZero"/>
        <c:auto val="1"/>
        <c:lblAlgn val="ctr"/>
        <c:lblOffset val="100"/>
        <c:noMultiLvlLbl val="0"/>
      </c:catAx>
      <c:valAx>
        <c:axId val="19546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Exit Area (cm2)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5465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254000</xdr:colOff>
      <xdr:row>2</xdr:row>
      <xdr:rowOff>31750</xdr:rowOff>
    </xdr:from>
    <xdr:to>
      <xdr:col>20</xdr:col>
      <xdr:colOff>177800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15A32-210A-C92F-845C-C14ACCEF4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292100</xdr:colOff>
      <xdr:row>2</xdr:row>
      <xdr:rowOff>6350</xdr:rowOff>
    </xdr:from>
    <xdr:to>
      <xdr:col>29</xdr:col>
      <xdr:colOff>368300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85AA7-64DC-21DA-B2F9-C30A498DF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241300</xdr:colOff>
      <xdr:row>17</xdr:row>
      <xdr:rowOff>171450</xdr:rowOff>
    </xdr:from>
    <xdr:to>
      <xdr:col>20</xdr:col>
      <xdr:colOff>152400</xdr:colOff>
      <xdr:row>32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5B5493-9AE8-B0C5-2155-8A5CD098C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8440-192E-4B0E-9A56-6E767FC0855D}">
  <dimension ref="A1:I26"/>
  <sheetViews>
    <sheetView tabSelected="1" zoomScale="55" zoomScaleNormal="55" workbookViewId="0">
      <selection activeCell="K6" sqref="K6"/>
    </sheetView>
  </sheetViews>
  <sheetFormatPr defaultRowHeight="14.5" x14ac:dyDescent="0.35"/>
  <cols>
    <col min="1" max="9" width="12.6328125" customWidth="1"/>
  </cols>
  <sheetData>
    <row r="1" spans="1:9" x14ac:dyDescent="0.35">
      <c r="A1" s="1" t="s">
        <v>0</v>
      </c>
      <c r="B1" s="1"/>
    </row>
    <row r="2" spans="1:9" x14ac:dyDescent="0.35">
      <c r="A2" s="2" t="s">
        <v>1</v>
      </c>
      <c r="B2" s="3">
        <v>0.28699999999999998</v>
      </c>
    </row>
    <row r="3" spans="1:9" x14ac:dyDescent="0.35">
      <c r="A3" s="2" t="s">
        <v>2</v>
      </c>
      <c r="B3" s="3">
        <v>1.0049999999999999</v>
      </c>
    </row>
    <row r="4" spans="1:9" x14ac:dyDescent="0.35">
      <c r="A4" s="2" t="s">
        <v>3</v>
      </c>
      <c r="B4" s="3">
        <v>300</v>
      </c>
    </row>
    <row r="5" spans="1:9" x14ac:dyDescent="0.35">
      <c r="A5" s="2" t="s">
        <v>4</v>
      </c>
      <c r="B5" s="3">
        <v>100</v>
      </c>
    </row>
    <row r="6" spans="1:9" x14ac:dyDescent="0.35">
      <c r="A6" s="2" t="s">
        <v>5</v>
      </c>
      <c r="B6" s="3">
        <v>30</v>
      </c>
    </row>
    <row r="7" spans="1:9" x14ac:dyDescent="0.35">
      <c r="A7" s="2" t="s">
        <v>6</v>
      </c>
      <c r="B7" s="3">
        <v>180</v>
      </c>
    </row>
    <row r="8" spans="1:9" x14ac:dyDescent="0.35">
      <c r="A8" s="2" t="s">
        <v>7</v>
      </c>
      <c r="B8" s="3">
        <v>8.0000000000000002E-3</v>
      </c>
    </row>
    <row r="10" spans="1:9" x14ac:dyDescent="0.3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</row>
    <row r="11" spans="1:9" x14ac:dyDescent="0.35">
      <c r="A11" s="3" cm="1">
        <f t="array" ref="A11:A26">_xlfn.SEQUENCE(16,1,150,10)</f>
        <v>150</v>
      </c>
      <c r="B11" s="3">
        <f>A11+273</f>
        <v>423</v>
      </c>
      <c r="C11" s="3">
        <f>($B$2*B11)/$B$4</f>
        <v>0.40466999999999997</v>
      </c>
      <c r="D11" s="3">
        <f t="shared" ref="D11:D26" si="0">($B$8*$B$6)/C11</f>
        <v>0.59307583957298537</v>
      </c>
      <c r="E11" s="3">
        <f>A11-(($B$7^2-$B$6^2)/2)*(1/1000)/$B$3</f>
        <v>134.32835820895522</v>
      </c>
      <c r="F11" s="3">
        <f>E11+273</f>
        <v>407.32835820895525</v>
      </c>
      <c r="G11" s="3">
        <f>($B$2*F11)/$B$5</f>
        <v>1.1690323880597016</v>
      </c>
      <c r="H11" s="3">
        <f t="shared" ref="H11:H26" si="1">D11*G11/$B$7</f>
        <v>3.8518048057584421E-3</v>
      </c>
      <c r="I11" s="3">
        <f>H11*10000</f>
        <v>38.518048057584423</v>
      </c>
    </row>
    <row r="12" spans="1:9" x14ac:dyDescent="0.35">
      <c r="A12" s="3">
        <v>160</v>
      </c>
      <c r="B12" s="3">
        <f t="shared" ref="B12:B26" si="2">A12+273</f>
        <v>433</v>
      </c>
      <c r="C12" s="3">
        <f t="shared" ref="C12:C26" si="3">($B$2*B12)/$B$4</f>
        <v>0.41423666666666664</v>
      </c>
      <c r="D12" s="3">
        <f t="shared" si="0"/>
        <v>0.57937893796621898</v>
      </c>
      <c r="E12" s="3">
        <f t="shared" ref="E12:E26" si="4">A12-(($B$7^2-$B$6^2)/2)*(1/1000)/$B$3</f>
        <v>144.32835820895522</v>
      </c>
      <c r="F12" s="3">
        <f t="shared" ref="F12:F26" si="5">E12+273</f>
        <v>417.32835820895525</v>
      </c>
      <c r="G12" s="3">
        <f t="shared" ref="G12:G26" si="6">($B$2*F12)/$B$5</f>
        <v>1.1977323880597015</v>
      </c>
      <c r="H12" s="3">
        <f t="shared" si="1"/>
        <v>3.8552273275654064E-3</v>
      </c>
      <c r="I12" s="3">
        <f t="shared" ref="I12:I26" si="7">H12*10000</f>
        <v>38.552273275654066</v>
      </c>
    </row>
    <row r="13" spans="1:9" x14ac:dyDescent="0.35">
      <c r="A13" s="3">
        <v>170</v>
      </c>
      <c r="B13" s="3">
        <f t="shared" si="2"/>
        <v>443</v>
      </c>
      <c r="C13" s="3">
        <f t="shared" si="3"/>
        <v>0.42380333333333331</v>
      </c>
      <c r="D13" s="3">
        <f t="shared" si="0"/>
        <v>0.56630040663515313</v>
      </c>
      <c r="E13" s="3">
        <f t="shared" si="4"/>
        <v>154.32835820895522</v>
      </c>
      <c r="F13" s="3">
        <f t="shared" si="5"/>
        <v>427.32835820895525</v>
      </c>
      <c r="G13" s="3">
        <f t="shared" si="6"/>
        <v>1.2264323880597015</v>
      </c>
      <c r="H13" s="3">
        <f t="shared" si="1"/>
        <v>3.8584953337151718E-3</v>
      </c>
      <c r="I13" s="3">
        <f t="shared" si="7"/>
        <v>38.584953337151717</v>
      </c>
    </row>
    <row r="14" spans="1:9" x14ac:dyDescent="0.35">
      <c r="A14" s="3">
        <v>180</v>
      </c>
      <c r="B14" s="3">
        <f t="shared" si="2"/>
        <v>453</v>
      </c>
      <c r="C14" s="3">
        <f t="shared" si="3"/>
        <v>0.43336999999999998</v>
      </c>
      <c r="D14" s="3">
        <f t="shared" si="0"/>
        <v>0.55379929390590033</v>
      </c>
      <c r="E14" s="3">
        <f t="shared" si="4"/>
        <v>164.32835820895522</v>
      </c>
      <c r="F14" s="3">
        <f t="shared" si="5"/>
        <v>437.32835820895525</v>
      </c>
      <c r="G14" s="3">
        <f t="shared" si="6"/>
        <v>1.2551323880597014</v>
      </c>
      <c r="H14" s="3">
        <f t="shared" si="1"/>
        <v>3.8616190570327177E-3</v>
      </c>
      <c r="I14" s="3">
        <f t="shared" si="7"/>
        <v>38.616190570327177</v>
      </c>
    </row>
    <row r="15" spans="1:9" x14ac:dyDescent="0.35">
      <c r="A15" s="3">
        <v>190</v>
      </c>
      <c r="B15" s="3">
        <f t="shared" si="2"/>
        <v>463</v>
      </c>
      <c r="C15" s="3">
        <f t="shared" si="3"/>
        <v>0.44293666666666665</v>
      </c>
      <c r="D15" s="3">
        <f t="shared" si="0"/>
        <v>0.54183818604616163</v>
      </c>
      <c r="E15" s="3">
        <f t="shared" si="4"/>
        <v>174.32835820895522</v>
      </c>
      <c r="F15" s="3">
        <f t="shared" si="5"/>
        <v>447.32835820895525</v>
      </c>
      <c r="G15" s="3">
        <f t="shared" si="6"/>
        <v>1.2838323880597013</v>
      </c>
      <c r="H15" s="3">
        <f t="shared" si="1"/>
        <v>3.864607846297669E-3</v>
      </c>
      <c r="I15" s="3">
        <f t="shared" si="7"/>
        <v>38.646078462976689</v>
      </c>
    </row>
    <row r="16" spans="1:9" x14ac:dyDescent="0.35">
      <c r="A16" s="5">
        <v>200</v>
      </c>
      <c r="B16" s="5">
        <f t="shared" si="2"/>
        <v>473</v>
      </c>
      <c r="C16" s="5">
        <f t="shared" si="3"/>
        <v>0.45250333333333326</v>
      </c>
      <c r="D16" s="5">
        <f t="shared" si="0"/>
        <v>0.53038283327562974</v>
      </c>
      <c r="E16" s="5">
        <f t="shared" si="4"/>
        <v>184.32835820895522</v>
      </c>
      <c r="F16" s="5">
        <f t="shared" si="5"/>
        <v>457.32835820895525</v>
      </c>
      <c r="G16" s="5">
        <f t="shared" si="6"/>
        <v>1.3125323880597015</v>
      </c>
      <c r="H16" s="5">
        <f t="shared" si="1"/>
        <v>3.8674702596951825E-3</v>
      </c>
      <c r="I16" s="5">
        <f t="shared" si="7"/>
        <v>38.674702596951825</v>
      </c>
    </row>
    <row r="17" spans="1:9" x14ac:dyDescent="0.35">
      <c r="A17" s="3">
        <v>210</v>
      </c>
      <c r="B17" s="3">
        <f t="shared" si="2"/>
        <v>483</v>
      </c>
      <c r="C17" s="3">
        <f t="shared" si="3"/>
        <v>0.46206999999999993</v>
      </c>
      <c r="D17" s="3">
        <f t="shared" si="0"/>
        <v>0.51940182223472642</v>
      </c>
      <c r="E17" s="3">
        <f t="shared" si="4"/>
        <v>194.32835820895522</v>
      </c>
      <c r="F17" s="3">
        <f t="shared" si="5"/>
        <v>467.32835820895525</v>
      </c>
      <c r="G17" s="3">
        <f t="shared" si="6"/>
        <v>1.3412323880597015</v>
      </c>
      <c r="H17" s="3">
        <f t="shared" si="1"/>
        <v>3.870214146658015E-3</v>
      </c>
      <c r="I17" s="3">
        <f t="shared" si="7"/>
        <v>38.702141466580152</v>
      </c>
    </row>
    <row r="18" spans="1:9" x14ac:dyDescent="0.35">
      <c r="A18" s="3">
        <v>220</v>
      </c>
      <c r="B18" s="3">
        <f t="shared" si="2"/>
        <v>493</v>
      </c>
      <c r="C18" s="3">
        <f t="shared" si="3"/>
        <v>0.47163666666666659</v>
      </c>
      <c r="D18" s="3">
        <f t="shared" si="0"/>
        <v>0.5088662883151579</v>
      </c>
      <c r="E18" s="3">
        <f t="shared" si="4"/>
        <v>204.32835820895522</v>
      </c>
      <c r="F18" s="3">
        <f t="shared" si="5"/>
        <v>477.32835820895525</v>
      </c>
      <c r="G18" s="3">
        <f t="shared" si="6"/>
        <v>1.3699323880597014</v>
      </c>
      <c r="H18" s="3">
        <f t="shared" si="1"/>
        <v>3.8728467197481154E-3</v>
      </c>
      <c r="I18" s="3">
        <f t="shared" si="7"/>
        <v>38.728467197481152</v>
      </c>
    </row>
    <row r="19" spans="1:9" x14ac:dyDescent="0.35">
      <c r="A19" s="3">
        <v>230</v>
      </c>
      <c r="B19" s="3">
        <f t="shared" si="2"/>
        <v>503</v>
      </c>
      <c r="C19" s="3">
        <f t="shared" si="3"/>
        <v>0.48120333333333332</v>
      </c>
      <c r="D19" s="3">
        <f t="shared" si="0"/>
        <v>0.49874966230491613</v>
      </c>
      <c r="E19" s="3">
        <f t="shared" si="4"/>
        <v>214.32835820895522</v>
      </c>
      <c r="F19" s="3">
        <f t="shared" si="5"/>
        <v>487.32835820895525</v>
      </c>
      <c r="G19" s="3">
        <f t="shared" si="6"/>
        <v>1.3986323880597016</v>
      </c>
      <c r="H19" s="3">
        <f t="shared" si="1"/>
        <v>3.8753746179638589E-3</v>
      </c>
      <c r="I19" s="3">
        <f t="shared" si="7"/>
        <v>38.75374617963859</v>
      </c>
    </row>
    <row r="20" spans="1:9" x14ac:dyDescent="0.35">
      <c r="A20" s="3">
        <v>240</v>
      </c>
      <c r="B20" s="3">
        <f t="shared" si="2"/>
        <v>513</v>
      </c>
      <c r="C20" s="3">
        <f t="shared" si="3"/>
        <v>0.49076999999999998</v>
      </c>
      <c r="D20" s="3">
        <f t="shared" si="0"/>
        <v>0.48902744666544412</v>
      </c>
      <c r="E20" s="3">
        <f t="shared" si="4"/>
        <v>224.32835820895522</v>
      </c>
      <c r="F20" s="3">
        <f t="shared" si="5"/>
        <v>497.32835820895525</v>
      </c>
      <c r="G20" s="3">
        <f t="shared" si="6"/>
        <v>1.4273323880597013</v>
      </c>
      <c r="H20" s="3">
        <f t="shared" si="1"/>
        <v>3.8778039626429254E-3</v>
      </c>
      <c r="I20" s="3">
        <f t="shared" si="7"/>
        <v>38.778039626429255</v>
      </c>
    </row>
    <row r="21" spans="1:9" x14ac:dyDescent="0.35">
      <c r="A21" s="3">
        <v>250</v>
      </c>
      <c r="B21" s="3">
        <f t="shared" si="2"/>
        <v>523</v>
      </c>
      <c r="C21" s="3">
        <f t="shared" si="3"/>
        <v>0.50033666666666665</v>
      </c>
      <c r="D21" s="3">
        <f t="shared" si="0"/>
        <v>0.47967701747490021</v>
      </c>
      <c r="E21" s="3">
        <f t="shared" si="4"/>
        <v>234.32835820895522</v>
      </c>
      <c r="F21" s="3">
        <f t="shared" si="5"/>
        <v>507.32835820895525</v>
      </c>
      <c r="G21" s="3">
        <f t="shared" si="6"/>
        <v>1.4560323880597013</v>
      </c>
      <c r="H21" s="3">
        <f t="shared" si="1"/>
        <v>3.8801404069518553E-3</v>
      </c>
      <c r="I21" s="3">
        <f t="shared" si="7"/>
        <v>38.801404069518554</v>
      </c>
    </row>
    <row r="22" spans="1:9" x14ac:dyDescent="0.35">
      <c r="A22" s="3">
        <v>260</v>
      </c>
      <c r="B22" s="3">
        <f t="shared" si="2"/>
        <v>533</v>
      </c>
      <c r="C22" s="3">
        <f t="shared" si="3"/>
        <v>0.50990333333333326</v>
      </c>
      <c r="D22" s="3">
        <f t="shared" si="0"/>
        <v>0.47067744866674083</v>
      </c>
      <c r="E22" s="3">
        <f t="shared" si="4"/>
        <v>244.32835820895522</v>
      </c>
      <c r="F22" s="3">
        <f t="shared" si="5"/>
        <v>517.32835820895525</v>
      </c>
      <c r="G22" s="3">
        <f t="shared" si="6"/>
        <v>1.4847323880597014</v>
      </c>
      <c r="H22" s="3">
        <f t="shared" si="1"/>
        <v>3.8823891798045423E-3</v>
      </c>
      <c r="I22" s="3">
        <f t="shared" si="7"/>
        <v>38.823891798045423</v>
      </c>
    </row>
    <row r="23" spans="1:9" x14ac:dyDescent="0.35">
      <c r="A23" s="3">
        <v>270</v>
      </c>
      <c r="B23" s="3">
        <f t="shared" si="2"/>
        <v>543</v>
      </c>
      <c r="C23" s="3">
        <f t="shared" si="3"/>
        <v>0.51946999999999999</v>
      </c>
      <c r="D23" s="3">
        <f t="shared" si="0"/>
        <v>0.46200935568945273</v>
      </c>
      <c r="E23" s="3">
        <f t="shared" si="4"/>
        <v>254.32835820895522</v>
      </c>
      <c r="F23" s="3">
        <f t="shared" si="5"/>
        <v>527.32835820895525</v>
      </c>
      <c r="G23" s="3">
        <f t="shared" si="6"/>
        <v>1.5134323880597014</v>
      </c>
      <c r="H23" s="3">
        <f t="shared" si="1"/>
        <v>3.8845551249278463E-3</v>
      </c>
      <c r="I23" s="3">
        <f t="shared" si="7"/>
        <v>38.845551249278465</v>
      </c>
    </row>
    <row r="24" spans="1:9" x14ac:dyDescent="0.35">
      <c r="A24" s="3">
        <v>280</v>
      </c>
      <c r="B24" s="3">
        <f t="shared" si="2"/>
        <v>553</v>
      </c>
      <c r="C24" s="3">
        <f t="shared" si="3"/>
        <v>0.5290366666666666</v>
      </c>
      <c r="D24" s="3">
        <f t="shared" si="0"/>
        <v>0.45365475612906481</v>
      </c>
      <c r="E24" s="3">
        <f t="shared" si="4"/>
        <v>264.32835820895525</v>
      </c>
      <c r="F24" s="3">
        <f t="shared" si="5"/>
        <v>537.32835820895525</v>
      </c>
      <c r="G24" s="3">
        <f t="shared" si="6"/>
        <v>1.5421323880597015</v>
      </c>
      <c r="H24" s="3">
        <f t="shared" si="1"/>
        <v>3.8866427356886459E-3</v>
      </c>
      <c r="I24" s="3">
        <f t="shared" si="7"/>
        <v>38.866427356886462</v>
      </c>
    </row>
    <row r="25" spans="1:9" x14ac:dyDescent="0.35">
      <c r="A25" s="3">
        <v>290</v>
      </c>
      <c r="B25" s="3">
        <f t="shared" si="2"/>
        <v>563</v>
      </c>
      <c r="C25" s="3">
        <f t="shared" si="3"/>
        <v>0.53860333333333332</v>
      </c>
      <c r="D25" s="3">
        <f t="shared" si="0"/>
        <v>0.44559694518538689</v>
      </c>
      <c r="E25" s="3">
        <f t="shared" si="4"/>
        <v>274.32835820895525</v>
      </c>
      <c r="F25" s="3">
        <f t="shared" si="5"/>
        <v>547.32835820895525</v>
      </c>
      <c r="G25" s="3">
        <f t="shared" si="6"/>
        <v>1.5708323880597015</v>
      </c>
      <c r="H25" s="3">
        <f t="shared" si="1"/>
        <v>3.8886561862092736E-3</v>
      </c>
      <c r="I25" s="3">
        <f t="shared" si="7"/>
        <v>38.886561862092734</v>
      </c>
    </row>
    <row r="26" spans="1:9" x14ac:dyDescent="0.35">
      <c r="A26" s="3">
        <v>300</v>
      </c>
      <c r="B26" s="3">
        <f t="shared" si="2"/>
        <v>573</v>
      </c>
      <c r="C26" s="3">
        <f t="shared" si="3"/>
        <v>0.54816999999999994</v>
      </c>
      <c r="D26" s="3">
        <f t="shared" si="0"/>
        <v>0.43782038418738717</v>
      </c>
      <c r="E26" s="3">
        <f t="shared" si="4"/>
        <v>284.32835820895525</v>
      </c>
      <c r="F26" s="3">
        <f t="shared" si="5"/>
        <v>557.32835820895525</v>
      </c>
      <c r="G26" s="3">
        <f t="shared" si="6"/>
        <v>1.5995323880597012</v>
      </c>
      <c r="H26" s="3">
        <f t="shared" si="1"/>
        <v>3.8905993592248181E-3</v>
      </c>
      <c r="I26" s="3">
        <f t="shared" si="7"/>
        <v>38.90599359224818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Irfan</dc:creator>
  <cp:lastModifiedBy>Abdullah Irfan</cp:lastModifiedBy>
  <dcterms:created xsi:type="dcterms:W3CDTF">2026-04-08T16:21:21Z</dcterms:created>
  <dcterms:modified xsi:type="dcterms:W3CDTF">2026-04-08T16:45:46Z</dcterms:modified>
</cp:coreProperties>
</file>